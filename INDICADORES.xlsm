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cle\Documents\planilhas\"/>
    </mc:Choice>
  </mc:AlternateContent>
  <xr:revisionPtr revIDLastSave="0" documentId="13_ncr:1_{7A18566D-190C-4E2E-BF9A-718F38415174}" xr6:coauthVersionLast="36" xr6:coauthVersionMax="36" xr10:uidLastSave="{00000000-0000-0000-0000-000000000000}"/>
  <bookViews>
    <workbookView xWindow="0" yWindow="0" windowWidth="23040" windowHeight="9072" xr2:uid="{78438185-E9F8-4A38-9FAE-99CF243DDF2C}"/>
  </bookViews>
  <sheets>
    <sheet name="INFORMAÇOES" sheetId="7" r:id="rId1"/>
    <sheet name="INDICADORES" sheetId="1" r:id="rId2"/>
    <sheet name="PONTO EQUILIBRIO" sheetId="6" r:id="rId3"/>
  </sheets>
  <externalReferences>
    <externalReference r:id="rId4"/>
  </externalReferences>
  <definedNames>
    <definedName name="produtos">[1]Cad!$B$12:$B$511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19" i="1" l="1"/>
  <c r="F4" i="1"/>
  <c r="D4" i="1"/>
  <c r="D9" i="1"/>
  <c r="D8" i="1"/>
  <c r="D48" i="1"/>
  <c r="D46" i="1"/>
  <c r="D49" i="1" s="1"/>
  <c r="D45" i="1"/>
  <c r="D42" i="1"/>
  <c r="D40" i="1"/>
  <c r="D39" i="1"/>
  <c r="D35" i="1"/>
  <c r="D33" i="1"/>
  <c r="D32" i="1"/>
  <c r="D26" i="1"/>
  <c r="D29" i="1" s="1"/>
  <c r="D27" i="1"/>
  <c r="D22" i="1"/>
  <c r="F23" i="1" s="1"/>
  <c r="D20" i="1"/>
  <c r="D13" i="1"/>
  <c r="D15" i="1" s="1"/>
  <c r="D16" i="1"/>
  <c r="D10" i="7"/>
  <c r="D7" i="7"/>
  <c r="D12" i="1" s="1"/>
  <c r="D30" i="1" s="1"/>
  <c r="E25" i="6"/>
  <c r="E5" i="1"/>
  <c r="C18" i="6"/>
  <c r="E4" i="6"/>
  <c r="D18" i="6"/>
  <c r="B21" i="6"/>
  <c r="J17" i="6"/>
  <c r="K17" i="6"/>
  <c r="D16" i="6"/>
  <c r="D36" i="1" l="1"/>
  <c r="D43" i="1" s="1"/>
  <c r="E3" i="1"/>
  <c r="F49" i="1"/>
  <c r="F46" i="1"/>
  <c r="F43" i="1"/>
  <c r="F40" i="1"/>
  <c r="F36" i="1"/>
  <c r="F33" i="1"/>
  <c r="F30" i="1"/>
  <c r="F27" i="1"/>
  <c r="B30" i="6"/>
  <c r="B27" i="6"/>
  <c r="E21" i="6"/>
  <c r="J16" i="6" l="1"/>
  <c r="K16" i="6" s="1"/>
  <c r="J15" i="6"/>
  <c r="K15" i="6" s="1"/>
  <c r="D15" i="6"/>
  <c r="J14" i="6"/>
  <c r="K14" i="6" s="1"/>
  <c r="D14" i="6"/>
  <c r="J13" i="6"/>
  <c r="K13" i="6" s="1"/>
  <c r="D13" i="6"/>
  <c r="J12" i="6"/>
  <c r="K12" i="6" s="1"/>
  <c r="D12" i="6"/>
  <c r="J11" i="6"/>
  <c r="K11" i="6" s="1"/>
  <c r="D11" i="6"/>
  <c r="J10" i="6"/>
  <c r="K10" i="6" s="1"/>
  <c r="D10" i="6"/>
  <c r="J9" i="6"/>
  <c r="K9" i="6" s="1"/>
  <c r="D9" i="6"/>
  <c r="J8" i="6"/>
  <c r="K8" i="6" s="1"/>
  <c r="D8" i="6"/>
  <c r="J7" i="6"/>
  <c r="K7" i="6" s="1"/>
  <c r="D7" i="6"/>
  <c r="J6" i="6"/>
  <c r="K6" i="6" s="1"/>
  <c r="B24" i="6" s="1"/>
  <c r="E29" i="6" s="1"/>
  <c r="D6" i="6"/>
  <c r="J5" i="6"/>
  <c r="K5" i="6" s="1"/>
  <c r="D5" i="6"/>
  <c r="J4" i="6"/>
  <c r="K4" i="6" s="1"/>
  <c r="D4" i="6"/>
  <c r="E13" i="6" l="1"/>
  <c r="E15" i="6"/>
  <c r="E12" i="6"/>
  <c r="E14" i="6"/>
  <c r="E7" i="6"/>
  <c r="E5" i="6"/>
  <c r="E8" i="6"/>
  <c r="E6" i="6"/>
  <c r="E11" i="6"/>
  <c r="E10" i="6"/>
  <c r="E16" i="6"/>
  <c r="E9" i="6"/>
  <c r="F20" i="1"/>
  <c r="F16" i="1"/>
  <c r="F13" i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3" authorId="0" shapeId="0" xr:uid="{1F95061F-C218-4192-A9B3-FD5B4D2462C7}">
      <text>
        <r>
          <rPr>
            <sz val="11"/>
            <color theme="1"/>
            <rFont val="Calibri"/>
            <family val="2"/>
            <scheme val="minor"/>
          </rPr>
          <t xml:space="preserve">Descrição do produto vendido
</t>
        </r>
      </text>
    </comment>
    <comment ref="B3" authorId="0" shapeId="0" xr:uid="{74BCD7DB-98F6-4D5C-B7CF-5EFFC0528DF5}">
      <text>
        <r>
          <rPr>
            <sz val="11"/>
            <color theme="1"/>
            <rFont val="Calibri"/>
            <family val="2"/>
            <scheme val="minor"/>
          </rPr>
          <t xml:space="preserve">Preço de venda do produto.
</t>
        </r>
      </text>
    </comment>
    <comment ref="C3" authorId="0" shapeId="0" xr:uid="{5386B432-F758-498C-82F8-247BBFD3D982}">
      <text>
        <r>
          <rPr>
            <sz val="11"/>
            <color theme="1"/>
            <rFont val="Calibri"/>
            <family val="2"/>
            <scheme val="minor"/>
          </rPr>
          <t xml:space="preserve">Quantidade estimada de produtos a ser vendido.
</t>
        </r>
      </text>
    </comment>
    <comment ref="F3" authorId="0" shapeId="0" xr:uid="{BC9CAAD5-ADDE-4356-9578-A6399E2F6F35}">
      <text>
        <r>
          <rPr>
            <sz val="11"/>
            <color theme="1"/>
            <rFont val="Calibri"/>
            <family val="2"/>
            <scheme val="minor"/>
          </rPr>
          <t>Custo unitário da matéria-prima por produto.</t>
        </r>
      </text>
    </comment>
    <comment ref="G3" authorId="0" shapeId="0" xr:uid="{C56E88F1-35B6-4C77-A9D3-355E11643809}">
      <text>
        <r>
          <rPr>
            <sz val="11"/>
            <color theme="1"/>
            <rFont val="Calibri"/>
            <family val="2"/>
            <scheme val="minor"/>
          </rPr>
          <t>Comissão paga  relacionada ao valor de venda.</t>
        </r>
      </text>
    </comment>
    <comment ref="H3" authorId="0" shapeId="0" xr:uid="{675F7532-FB2A-4983-9DF1-FC3C62FC8C4A}">
      <text>
        <r>
          <rPr>
            <sz val="11"/>
            <color theme="1"/>
            <rFont val="Calibri"/>
            <family val="2"/>
            <scheme val="minor"/>
          </rPr>
          <t>% dos impostos pagos com relação ao valor de venda.</t>
        </r>
      </text>
    </comment>
    <comment ref="I3" authorId="0" shapeId="0" xr:uid="{C774C585-030D-4666-B2D3-34CEDA615C37}">
      <text>
        <r>
          <rPr>
            <sz val="11"/>
            <color theme="1"/>
            <rFont val="Calibri"/>
            <family val="2"/>
            <scheme val="minor"/>
          </rPr>
          <t>Outros custos diretamente relacionados aos produtos vendidos.
Ex.:
- Embalagem
- Frete</t>
        </r>
      </text>
    </comment>
    <comment ref="L3" authorId="0" shapeId="0" xr:uid="{81FD2BD0-3EBD-41C0-9308-11B4B6B80350}">
      <text>
        <r>
          <rPr>
            <sz val="11"/>
            <color theme="1"/>
            <rFont val="Calibri"/>
            <family val="2"/>
            <scheme val="minor"/>
          </rPr>
          <t>Relacionar os custos fixos da sua empresa. Alguns já estão fixos para orientá-lo(a).</t>
        </r>
      </text>
    </comment>
    <comment ref="L4" authorId="0" shapeId="0" xr:uid="{8E34E627-EB6F-4ACF-AD96-0606F2EF9063}">
      <text>
        <r>
          <rPr>
            <sz val="11"/>
            <color theme="1"/>
            <rFont val="Calibri"/>
            <family val="2"/>
            <scheme val="minor"/>
          </rPr>
          <t>Relacionar os custos fixos da sua empresa. Alguns já estão fixos para orientá-lo(a).</t>
        </r>
      </text>
    </comment>
    <comment ref="M4" authorId="0" shapeId="0" xr:uid="{F75ED79C-9FF8-459B-999A-01B20F475C59}">
      <text>
        <r>
          <rPr>
            <sz val="11"/>
            <color theme="1"/>
            <rFont val="Calibri"/>
            <family val="2"/>
            <scheme val="minor"/>
          </rPr>
          <t>Informar o valor mensal pago dos custos fixos relacionados.</t>
        </r>
      </text>
    </comment>
  </commentList>
</comments>
</file>

<file path=xl/sharedStrings.xml><?xml version="1.0" encoding="utf-8"?>
<sst xmlns="http://schemas.openxmlformats.org/spreadsheetml/2006/main" count="291" uniqueCount="108">
  <si>
    <t xml:space="preserve">ATIVO TOTAL </t>
  </si>
  <si>
    <t>ATIVO CIRCULANTE</t>
  </si>
  <si>
    <t xml:space="preserve">PASSIVO CIRCULANTE </t>
  </si>
  <si>
    <t>ATIVO TOTAL</t>
  </si>
  <si>
    <t>PASSIVO NÃO CIRCULANTE</t>
  </si>
  <si>
    <t>/</t>
  </si>
  <si>
    <t>VALOR</t>
  </si>
  <si>
    <t>=</t>
  </si>
  <si>
    <t>PASSIVO CIRCULANTE</t>
  </si>
  <si>
    <t>PASSIVO TOTAL</t>
  </si>
  <si>
    <t xml:space="preserve">02 - LIQUIDEZ GERAL </t>
  </si>
  <si>
    <t>03 - LIQUIDEZ CORRENTE</t>
  </si>
  <si>
    <t>PATRIMONIO LIQUIDO</t>
  </si>
  <si>
    <t>06 - PARTICIPAÇÃO DE CAPITAIS DE TERCEIROS</t>
  </si>
  <si>
    <t xml:space="preserve">07 - COMPOSIÇÃO DO ENDIVIDAMENTO </t>
  </si>
  <si>
    <t>01 - GRAU DE ENDIVIDAMENTO TOTAL</t>
  </si>
  <si>
    <t>INDICE</t>
  </si>
  <si>
    <t>INDICADOR</t>
  </si>
  <si>
    <t>SIGNIFICADO</t>
  </si>
  <si>
    <t>PL + DIVIDAS</t>
  </si>
  <si>
    <t>LUCRO LIQUIDO</t>
  </si>
  <si>
    <t>CAPACIDADE DE COBERTURA DOS COMPROMISSOS GERAIS</t>
  </si>
  <si>
    <t>MAIOR QUE 1 É FAVORÁVEL</t>
  </si>
  <si>
    <t>CAPACIDADE DE COBERTURA DOS COMPROMISSOS DE CURTO</t>
  </si>
  <si>
    <t>ESTOQUE X 360</t>
  </si>
  <si>
    <t>CUSTO DA MERCADORIA VENDIDA</t>
  </si>
  <si>
    <t>DUPLICATAS A RECEBER X360</t>
  </si>
  <si>
    <t>INDICA PRAZO MEDIO DE CONVERSAO DO ESTOQUE EM VENDAS</t>
  </si>
  <si>
    <t>INDICA O NUMERO DE DIAS EM MEDIA, PARA RECEBIMENTO DAS VENDAS</t>
  </si>
  <si>
    <t>FORNECEDORES X 360</t>
  </si>
  <si>
    <t>INDICA PRAZO MEDIO PARA A EMRPESA PAGAR SEUS FORNECEDORES</t>
  </si>
  <si>
    <t>MOSTRA A DEPENDENCIA DE RECURSOS DE TERCEIROS NO FINANCIAMENTO DOS ATIVOS</t>
  </si>
  <si>
    <t>REPRESENTA QUANTO DA EMPRESA É DE CAPITAL DE TERCEIROS</t>
  </si>
  <si>
    <t>REPRESENTA QUANTO DA DIVIDA VENCE NO CURTO PRAZO</t>
  </si>
  <si>
    <t>RECEITA LIQUIDA</t>
  </si>
  <si>
    <t>MARGEM DE LUCRO LIQUIDO - QUANTO MAIOR MELHOR</t>
  </si>
  <si>
    <t>DUPLICATAS DESCONTADAS</t>
  </si>
  <si>
    <t>DUPLICATAS A RECEBER</t>
  </si>
  <si>
    <t>INDICA QUANTO DE CADA 1,00 DE DUPLICATAS A RECEBER A EMPRESA ESTA DESCONTANDO</t>
  </si>
  <si>
    <t>DUPLICATAS VENCIDAS</t>
  </si>
  <si>
    <t>INDICE DE INADIMPLENCIA</t>
  </si>
  <si>
    <t>Produto</t>
  </si>
  <si>
    <t>Preço de Venda</t>
  </si>
  <si>
    <t>Receita bruta mensal</t>
  </si>
  <si>
    <t>% de Participação</t>
  </si>
  <si>
    <t>Matéria - Prima</t>
  </si>
  <si>
    <t>Comissões (%)</t>
  </si>
  <si>
    <t>Impostos (%)</t>
  </si>
  <si>
    <t>Outros gastos</t>
  </si>
  <si>
    <t>Total custo por produto</t>
  </si>
  <si>
    <t>Custo Fixo</t>
  </si>
  <si>
    <t>Valor (R$)</t>
  </si>
  <si>
    <t>Camisa</t>
  </si>
  <si>
    <t>Pró Labore e salários</t>
  </si>
  <si>
    <t>Calça</t>
  </si>
  <si>
    <t>Taxa de propriedade (águal e luz)</t>
  </si>
  <si>
    <t>Camiseta</t>
  </si>
  <si>
    <t>Telefone e internet</t>
  </si>
  <si>
    <t>Aluguel</t>
  </si>
  <si>
    <t>Marketing</t>
  </si>
  <si>
    <t>Empréstimos</t>
  </si>
  <si>
    <t>Legais e Jurídicos</t>
  </si>
  <si>
    <t>Outros Custos</t>
  </si>
  <si>
    <t>BGBGB</t>
  </si>
  <si>
    <t>Descrição</t>
  </si>
  <si>
    <t>Preço de venda médio dos seus produtos</t>
  </si>
  <si>
    <t>Margem de contribuição média dos seus produtos</t>
  </si>
  <si>
    <t>Custos diretos totais</t>
  </si>
  <si>
    <t>Custos diretos médio por produto</t>
  </si>
  <si>
    <t>MG Contribicao</t>
  </si>
  <si>
    <t>Tabela de calculo de Ponto de Equilibrio</t>
  </si>
  <si>
    <t>PREENCHER</t>
  </si>
  <si>
    <t>TOTAL</t>
  </si>
  <si>
    <t xml:space="preserve">Projeções vendas </t>
  </si>
  <si>
    <t>total dos  custos fixos?</t>
  </si>
  <si>
    <t>Qual faturamento para não ter prejuízo?</t>
  </si>
  <si>
    <t>Quantos produtos precisa vender para não ter prejuízo?</t>
  </si>
  <si>
    <t>PARA CADA 1,00 DO PL  OU DIVIDAS E GERADO Y DE RECEITAS. QUANTO MAIOR MELHOR</t>
  </si>
  <si>
    <t>RETORNO SOBRE PATRIMONIO LIQUIDO PARA CADA 1,00</t>
  </si>
  <si>
    <t>RETORNO SOBRE O TOTAL DE RECURSOS EM PORCENTAGEM</t>
  </si>
  <si>
    <t>INDICES ECONOMICOS E FINANCEIROS</t>
  </si>
  <si>
    <t>09- ROE</t>
  </si>
  <si>
    <t>10- ROA</t>
  </si>
  <si>
    <t>11 - PME</t>
  </si>
  <si>
    <t>12 - PMR</t>
  </si>
  <si>
    <t>13 - PMF</t>
  </si>
  <si>
    <t>14 -MLL</t>
  </si>
  <si>
    <t>15 - IDD</t>
  </si>
  <si>
    <t>16 - INAD</t>
  </si>
  <si>
    <t>CUSTOS FIXOS</t>
  </si>
  <si>
    <t>ATIVO NÃO CIRCULANTE</t>
  </si>
  <si>
    <t>DIVIDAS</t>
  </si>
  <si>
    <t>ESTOQUE</t>
  </si>
  <si>
    <t>FORNECEDOR</t>
  </si>
  <si>
    <t>ITENS</t>
  </si>
  <si>
    <t xml:space="preserve">Preencha os valores ao lado e na aba indicadores, você terá informações importantes de como sua </t>
  </si>
  <si>
    <t xml:space="preserve">empresa está, como Retorno sobre Patrimonio Liquido, Endividamento, liquidez, Inadimplência, </t>
  </si>
  <si>
    <t xml:space="preserve"> PRAZO, MAIOR QUE 1 É FAVORÁVEL</t>
  </si>
  <si>
    <t>Um sistema gerencial;</t>
  </si>
  <si>
    <t xml:space="preserve"> www.db3center.com.br</t>
  </si>
  <si>
    <t>Tempo Médio de Recebimento, Tempo Estoque entre outros.</t>
  </si>
  <si>
    <t>Analise de dados;</t>
  </si>
  <si>
    <t>ChatBot;</t>
  </si>
  <si>
    <t>Um dashboard;</t>
  </si>
  <si>
    <t>Uma planilha especial;</t>
  </si>
  <si>
    <t>Se precisar:</t>
  </si>
  <si>
    <t>08- TURNOVER FINANCEIRO</t>
  </si>
  <si>
    <t xml:space="preserve">                           INÍCIO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</si>
</sst>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3.5"/>
      <color theme="1"/>
      <name val="Arial"/>
      <family val="2"/>
    </font>
    <font>
      <b/>
      <sz val="9"/>
      <color indexed="8"/>
      <name val="Arial"/>
      <family val="2"/>
    </font>
    <font>
      <b/>
      <sz val="12"/>
      <color theme="0"/>
      <name val="Calibri"/>
      <family val="2"/>
    </font>
    <font>
      <sz val="12"/>
      <color theme="1"/>
      <name val="Calibri"/>
      <family val="2"/>
    </font>
    <font>
      <sz val="12"/>
      <color rgb="FF999999"/>
      <name val="Calibri"/>
      <family val="2"/>
    </font>
    <font>
      <sz val="12"/>
      <color theme="0"/>
      <name val="Calibri"/>
      <family val="2"/>
    </font>
    <font>
      <sz val="12"/>
      <color rgb="FF595959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sz val="16"/>
      <color theme="5" tint="-0.249977111117893"/>
      <name val="Bernard MT Condensed"/>
      <family val="1"/>
    </font>
    <font>
      <sz val="12"/>
      <color theme="4" tint="-0.499984740745262"/>
      <name val="Calibri"/>
      <family val="2"/>
    </font>
    <font>
      <sz val="12"/>
      <color theme="4" tint="-0.249977111117893"/>
      <name val="Calibri"/>
      <family val="2"/>
    </font>
    <font>
      <sz val="11"/>
      <color theme="4" tint="-0.249977111117893"/>
      <name val="Calibri"/>
      <family val="2"/>
    </font>
    <font>
      <sz val="12"/>
      <color theme="9" tint="-0.499984740745262"/>
      <name val="Calibri"/>
      <family val="2"/>
    </font>
    <font>
      <sz val="11"/>
      <color theme="9" tint="-0.499984740745262"/>
      <name val="Calibri"/>
      <family val="2"/>
    </font>
    <font>
      <sz val="12"/>
      <color rgb="FFC00000"/>
      <name val="Calibri"/>
      <family val="2"/>
    </font>
    <font>
      <sz val="11"/>
      <color rgb="FFC00000"/>
      <name val="Calibri"/>
      <family val="2"/>
    </font>
    <font>
      <sz val="18"/>
      <color theme="1" tint="0.249977111117893"/>
      <name val="Bernard MT Condensed"/>
      <family val="1"/>
    </font>
    <font>
      <sz val="10"/>
      <name val="Calibri"/>
      <family val="2"/>
      <scheme val="minor"/>
    </font>
    <font>
      <b/>
      <sz val="9"/>
      <color theme="1"/>
      <name val="Arial"/>
      <family val="2"/>
    </font>
    <font>
      <sz val="10"/>
      <color theme="1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9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8" tint="-0.499984740745262"/>
      <name val="Bahnschrift SemiBold"/>
      <family val="2"/>
    </font>
    <font>
      <sz val="14"/>
      <color theme="5"/>
      <name val="Algerian"/>
      <family val="5"/>
    </font>
    <font>
      <sz val="20"/>
      <color theme="1"/>
      <name val="Bauhaus 93"/>
      <family val="5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2E75B5"/>
        <bgColor rgb="FF2E75B5"/>
      </patternFill>
    </fill>
    <fill>
      <patternFill patternType="solid">
        <fgColor rgb="FFEAEAEA"/>
        <bgColor rgb="FFEAEAEA"/>
      </patternFill>
    </fill>
    <fill>
      <patternFill patternType="solid">
        <fgColor rgb="FFADB9CA"/>
        <bgColor rgb="FFADB9CA"/>
      </patternFill>
    </fill>
    <fill>
      <patternFill patternType="solid">
        <fgColor rgb="FFD6DCE4"/>
        <bgColor rgb="FFD6DCE4"/>
      </patternFill>
    </fill>
    <fill>
      <patternFill patternType="solid">
        <fgColor rgb="FF6699CC"/>
        <bgColor rgb="FF6699CC"/>
      </patternFill>
    </fill>
    <fill>
      <patternFill patternType="solid">
        <fgColor rgb="FF8496B0"/>
        <bgColor rgb="FF8496B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rgb="FFE4F2F4"/>
      </patternFill>
    </fill>
    <fill>
      <patternFill patternType="solid">
        <fgColor theme="0"/>
        <bgColor rgb="FF2E75B5"/>
      </patternFill>
    </fill>
    <fill>
      <patternFill patternType="solid">
        <fgColor theme="0"/>
        <bgColor rgb="FFEAEAEA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rgb="FFEAEAEA"/>
      </patternFill>
    </fill>
    <fill>
      <patternFill patternType="solid">
        <fgColor theme="1" tint="0.34998626667073579"/>
        <bgColor rgb="FF2E75B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rgb="FFD8D8D8"/>
      </left>
      <right style="thin">
        <color rgb="FFD8D8D8"/>
      </right>
      <top/>
      <bottom style="thin">
        <color rgb="FFD8D8D8"/>
      </bottom>
      <diagonal/>
    </border>
    <border>
      <left style="thin">
        <color rgb="FFD8D8D8"/>
      </left>
      <right style="thin">
        <color rgb="FFD8D8D8"/>
      </right>
      <top style="medium">
        <color theme="0"/>
      </top>
      <bottom style="thin">
        <color rgb="FFD8D8D8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rgb="FFD8D8D8"/>
      </left>
      <right style="thin">
        <color rgb="FFD8D8D8"/>
      </right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thin">
        <color rgb="FFD8D8D8"/>
      </left>
      <right style="medium">
        <color indexed="64"/>
      </right>
      <top style="thin">
        <color rgb="FFD8D8D8"/>
      </top>
      <bottom style="thin">
        <color rgb="FFD8D8D8"/>
      </bottom>
      <diagonal/>
    </border>
    <border>
      <left style="medium">
        <color indexed="64"/>
      </left>
      <right/>
      <top style="medium">
        <color theme="0"/>
      </top>
      <bottom/>
      <diagonal/>
    </border>
    <border>
      <left style="medium">
        <color indexed="64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/>
      <right style="medium">
        <color indexed="64"/>
      </right>
      <top/>
      <bottom style="thin">
        <color rgb="FFD8D8D8"/>
      </bottom>
      <diagonal/>
    </border>
    <border>
      <left style="medium">
        <color indexed="64"/>
      </left>
      <right style="thin">
        <color rgb="FFD8D8D8"/>
      </right>
      <top/>
      <bottom style="thin">
        <color rgb="FFD8D8D8"/>
      </bottom>
      <diagonal/>
    </border>
    <border>
      <left style="thin">
        <color rgb="FFD8D8D8"/>
      </left>
      <right style="medium">
        <color indexed="64"/>
      </right>
      <top/>
      <bottom style="thin">
        <color rgb="FFD8D8D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rgb="FFD8D8D8"/>
      </right>
      <top/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thin">
        <color rgb="FFD8D8D8"/>
      </left>
      <right/>
      <top/>
      <bottom/>
      <diagonal/>
    </border>
    <border>
      <left style="medium">
        <color indexed="64"/>
      </left>
      <right style="thin">
        <color rgb="FFD8D8D8"/>
      </right>
      <top style="medium">
        <color indexed="64"/>
      </top>
      <bottom style="medium">
        <color indexed="64"/>
      </bottom>
      <diagonal/>
    </border>
    <border>
      <left style="thin">
        <color rgb="FFD8D8D8"/>
      </left>
      <right style="thin">
        <color rgb="FFD8D8D8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177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5" borderId="0" xfId="0" applyFill="1" applyBorder="1"/>
    <xf numFmtId="0" fontId="0" fillId="6" borderId="0" xfId="0" applyFill="1" applyBorder="1"/>
    <xf numFmtId="2" fontId="0" fillId="3" borderId="0" xfId="0" applyNumberFormat="1" applyFill="1" applyAlignment="1">
      <alignment horizontal="center"/>
    </xf>
    <xf numFmtId="2" fontId="4" fillId="3" borderId="0" xfId="0" applyNumberFormat="1" applyFont="1" applyFill="1" applyAlignment="1">
      <alignment horizontal="center" vertical="center"/>
    </xf>
    <xf numFmtId="0" fontId="0" fillId="0" borderId="0" xfId="0" applyFont="1" applyAlignment="1"/>
    <xf numFmtId="164" fontId="7" fillId="0" borderId="7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64" fontId="8" fillId="9" borderId="9" xfId="0" applyNumberFormat="1" applyFont="1" applyFill="1" applyBorder="1" applyAlignment="1">
      <alignment horizontal="center" vertical="center"/>
    </xf>
    <xf numFmtId="9" fontId="8" fillId="9" borderId="5" xfId="0" applyNumberFormat="1" applyFont="1" applyFill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9" fontId="7" fillId="0" borderId="10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3" fillId="14" borderId="0" xfId="0" applyFont="1" applyFill="1"/>
    <xf numFmtId="0" fontId="3" fillId="14" borderId="0" xfId="0" applyFont="1" applyFill="1" applyAlignment="1"/>
    <xf numFmtId="0" fontId="6" fillId="15" borderId="5" xfId="0" applyFont="1" applyFill="1" applyBorder="1" applyAlignment="1">
      <alignment horizontal="right" vertical="center"/>
    </xf>
    <xf numFmtId="0" fontId="9" fillId="16" borderId="5" xfId="0" applyFont="1" applyFill="1" applyBorder="1" applyAlignment="1">
      <alignment horizontal="left" vertical="center"/>
    </xf>
    <xf numFmtId="0" fontId="13" fillId="0" borderId="0" xfId="0" applyFont="1"/>
    <xf numFmtId="0" fontId="0" fillId="22" borderId="0" xfId="0" applyFill="1"/>
    <xf numFmtId="164" fontId="8" fillId="9" borderId="19" xfId="0" applyNumberFormat="1" applyFont="1" applyFill="1" applyBorder="1" applyAlignment="1">
      <alignment horizontal="center" vertical="center"/>
    </xf>
    <xf numFmtId="164" fontId="7" fillId="0" borderId="20" xfId="0" applyNumberFormat="1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9" fontId="8" fillId="9" borderId="6" xfId="0" applyNumberFormat="1" applyFont="1" applyFill="1" applyBorder="1" applyAlignment="1">
      <alignment horizontal="center" vertical="center"/>
    </xf>
    <xf numFmtId="164" fontId="7" fillId="0" borderId="21" xfId="0" applyNumberFormat="1" applyFont="1" applyBorder="1" applyAlignment="1">
      <alignment horizontal="center" vertical="center"/>
    </xf>
    <xf numFmtId="9" fontId="7" fillId="0" borderId="21" xfId="0" applyNumberFormat="1" applyFont="1" applyBorder="1" applyAlignment="1">
      <alignment horizontal="center" vertical="center"/>
    </xf>
    <xf numFmtId="0" fontId="14" fillId="8" borderId="22" xfId="0" applyFont="1" applyFill="1" applyBorder="1" applyAlignment="1">
      <alignment horizontal="left" vertical="center"/>
    </xf>
    <xf numFmtId="0" fontId="6" fillId="8" borderId="23" xfId="0" applyFont="1" applyFill="1" applyBorder="1" applyAlignment="1">
      <alignment horizontal="left" vertical="center"/>
    </xf>
    <xf numFmtId="0" fontId="15" fillId="9" borderId="24" xfId="0" applyFont="1" applyFill="1" applyBorder="1" applyAlignment="1">
      <alignment horizontal="left" vertical="center"/>
    </xf>
    <xf numFmtId="164" fontId="7" fillId="0" borderId="25" xfId="0" applyNumberFormat="1" applyFont="1" applyBorder="1" applyAlignment="1">
      <alignment horizontal="center" vertical="center"/>
    </xf>
    <xf numFmtId="0" fontId="15" fillId="9" borderId="26" xfId="0" applyFont="1" applyFill="1" applyBorder="1" applyAlignment="1">
      <alignment horizontal="left" vertical="center"/>
    </xf>
    <xf numFmtId="0" fontId="15" fillId="0" borderId="27" xfId="0" applyFont="1" applyBorder="1" applyAlignment="1">
      <alignment horizontal="left" vertical="center"/>
    </xf>
    <xf numFmtId="164" fontId="7" fillId="0" borderId="28" xfId="0" applyNumberFormat="1" applyFont="1" applyBorder="1" applyAlignment="1">
      <alignment horizontal="center" vertical="center"/>
    </xf>
    <xf numFmtId="0" fontId="15" fillId="0" borderId="29" xfId="0" applyFont="1" applyBorder="1" applyAlignment="1">
      <alignment horizontal="left" vertical="center"/>
    </xf>
    <xf numFmtId="164" fontId="7" fillId="0" borderId="30" xfId="0" applyNumberFormat="1" applyFont="1" applyBorder="1" applyAlignment="1">
      <alignment horizontal="center" vertical="center"/>
    </xf>
    <xf numFmtId="0" fontId="13" fillId="0" borderId="31" xfId="0" applyFont="1" applyBorder="1"/>
    <xf numFmtId="0" fontId="0" fillId="0" borderId="32" xfId="0" applyBorder="1"/>
    <xf numFmtId="0" fontId="13" fillId="0" borderId="14" xfId="0" applyFont="1" applyBorder="1"/>
    <xf numFmtId="0" fontId="0" fillId="0" borderId="16" xfId="0" applyBorder="1"/>
    <xf numFmtId="0" fontId="9" fillId="8" borderId="33" xfId="0" applyFont="1" applyFill="1" applyBorder="1" applyAlignment="1">
      <alignment horizontal="left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left" vertical="center"/>
    </xf>
    <xf numFmtId="0" fontId="6" fillId="8" borderId="33" xfId="0" applyFont="1" applyFill="1" applyBorder="1" applyAlignment="1">
      <alignment horizontal="left" vertical="center"/>
    </xf>
    <xf numFmtId="0" fontId="6" fillId="8" borderId="43" xfId="0" applyFont="1" applyFill="1" applyBorder="1" applyAlignment="1">
      <alignment horizontal="left" vertical="center"/>
    </xf>
    <xf numFmtId="0" fontId="6" fillId="8" borderId="43" xfId="0" applyFont="1" applyFill="1" applyBorder="1" applyAlignment="1">
      <alignment horizontal="center" vertical="center" wrapText="1"/>
    </xf>
    <xf numFmtId="0" fontId="6" fillId="8" borderId="44" xfId="0" applyFont="1" applyFill="1" applyBorder="1" applyAlignment="1">
      <alignment horizontal="left" vertical="center"/>
    </xf>
    <xf numFmtId="0" fontId="6" fillId="8" borderId="44" xfId="0" applyFont="1" applyFill="1" applyBorder="1" applyAlignment="1">
      <alignment horizontal="center" vertical="center" wrapText="1"/>
    </xf>
    <xf numFmtId="0" fontId="6" fillId="8" borderId="34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left" vertical="center"/>
    </xf>
    <xf numFmtId="164" fontId="8" fillId="9" borderId="45" xfId="0" applyNumberFormat="1" applyFont="1" applyFill="1" applyBorder="1" applyAlignment="1">
      <alignment horizontal="center" vertical="center"/>
    </xf>
    <xf numFmtId="0" fontId="7" fillId="0" borderId="27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164" fontId="8" fillId="9" borderId="47" xfId="0" applyNumberFormat="1" applyFont="1" applyFill="1" applyBorder="1" applyAlignment="1">
      <alignment horizontal="center" vertical="center"/>
    </xf>
    <xf numFmtId="0" fontId="7" fillId="0" borderId="48" xfId="0" applyFont="1" applyBorder="1" applyAlignment="1">
      <alignment horizontal="left" vertical="center"/>
    </xf>
    <xf numFmtId="9" fontId="8" fillId="9" borderId="19" xfId="0" applyNumberFormat="1" applyFont="1" applyFill="1" applyBorder="1" applyAlignment="1">
      <alignment horizontal="center" vertical="center"/>
    </xf>
    <xf numFmtId="164" fontId="7" fillId="19" borderId="49" xfId="0" applyNumberFormat="1" applyFont="1" applyFill="1" applyBorder="1" applyAlignment="1">
      <alignment horizontal="center" vertical="center"/>
    </xf>
    <xf numFmtId="0" fontId="7" fillId="19" borderId="50" xfId="0" applyFont="1" applyFill="1" applyBorder="1" applyAlignment="1">
      <alignment horizontal="center" vertical="center"/>
    </xf>
    <xf numFmtId="164" fontId="17" fillId="23" borderId="13" xfId="0" applyNumberFormat="1" applyFont="1" applyFill="1" applyBorder="1" applyAlignment="1">
      <alignment horizontal="center" vertical="center"/>
    </xf>
    <xf numFmtId="0" fontId="0" fillId="3" borderId="0" xfId="0" applyFont="1" applyFill="1" applyBorder="1"/>
    <xf numFmtId="0" fontId="25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/>
    <xf numFmtId="2" fontId="0" fillId="3" borderId="0" xfId="0" applyNumberFormat="1" applyFill="1" applyAlignment="1">
      <alignment horizontal="center" vertical="center"/>
    </xf>
    <xf numFmtId="2" fontId="2" fillId="7" borderId="3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left"/>
    </xf>
    <xf numFmtId="0" fontId="5" fillId="4" borderId="4" xfId="0" applyFont="1" applyFill="1" applyBorder="1" applyAlignment="1">
      <alignment horizontal="left" vertical="top" wrapText="1"/>
    </xf>
    <xf numFmtId="0" fontId="5" fillId="4" borderId="2" xfId="0" applyFont="1" applyFill="1" applyBorder="1" applyAlignment="1">
      <alignment horizontal="left" vertical="top" wrapText="1"/>
    </xf>
    <xf numFmtId="0" fontId="0" fillId="3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/>
    <xf numFmtId="0" fontId="26" fillId="3" borderId="0" xfId="0" applyFont="1" applyFill="1" applyBorder="1" applyAlignment="1">
      <alignment horizontal="left"/>
    </xf>
    <xf numFmtId="0" fontId="26" fillId="3" borderId="0" xfId="0" applyFont="1" applyFill="1" applyBorder="1"/>
    <xf numFmtId="0" fontId="27" fillId="3" borderId="0" xfId="0" applyFont="1" applyFill="1" applyBorder="1"/>
    <xf numFmtId="0" fontId="27" fillId="3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0" fontId="0" fillId="5" borderId="0" xfId="0" applyFill="1" applyBorder="1" applyAlignment="1"/>
    <xf numFmtId="0" fontId="0" fillId="0" borderId="0" xfId="0" applyFont="1" applyAlignment="1">
      <alignment horizontal="center" vertical="center"/>
    </xf>
    <xf numFmtId="0" fontId="28" fillId="3" borderId="0" xfId="0" applyFont="1" applyFill="1" applyBorder="1" applyAlignment="1">
      <alignment horizontal="center" vertical="center" wrapText="1"/>
    </xf>
    <xf numFmtId="0" fontId="25" fillId="5" borderId="0" xfId="0" applyFont="1" applyFill="1" applyBorder="1" applyAlignment="1">
      <alignment horizontal="center"/>
    </xf>
    <xf numFmtId="0" fontId="25" fillId="5" borderId="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5" fillId="5" borderId="0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center" vertical="center"/>
    </xf>
    <xf numFmtId="164" fontId="0" fillId="28" borderId="58" xfId="1" applyNumberFormat="1" applyFont="1" applyFill="1" applyBorder="1"/>
    <xf numFmtId="0" fontId="0" fillId="28" borderId="57" xfId="0" applyFill="1" applyBorder="1"/>
    <xf numFmtId="0" fontId="0" fillId="28" borderId="58" xfId="0" applyFill="1" applyBorder="1"/>
    <xf numFmtId="0" fontId="0" fillId="28" borderId="59" xfId="0" applyFill="1" applyBorder="1"/>
    <xf numFmtId="0" fontId="0" fillId="29" borderId="51" xfId="0" applyFill="1" applyBorder="1"/>
    <xf numFmtId="0" fontId="0" fillId="29" borderId="52" xfId="0" applyFill="1" applyBorder="1"/>
    <xf numFmtId="0" fontId="0" fillId="29" borderId="53" xfId="0" applyFill="1" applyBorder="1"/>
    <xf numFmtId="164" fontId="0" fillId="30" borderId="54" xfId="1" applyNumberFormat="1" applyFont="1" applyFill="1" applyBorder="1"/>
    <xf numFmtId="164" fontId="0" fillId="30" borderId="55" xfId="1" applyNumberFormat="1" applyFont="1" applyFill="1" applyBorder="1"/>
    <xf numFmtId="164" fontId="0" fillId="30" borderId="56" xfId="1" applyNumberFormat="1" applyFont="1" applyFill="1" applyBorder="1"/>
    <xf numFmtId="164" fontId="0" fillId="28" borderId="58" xfId="0" applyNumberFormat="1" applyFill="1" applyBorder="1"/>
    <xf numFmtId="0" fontId="0" fillId="26" borderId="31" xfId="0" applyFill="1" applyBorder="1"/>
    <xf numFmtId="0" fontId="0" fillId="26" borderId="0" xfId="0" applyFill="1" applyBorder="1"/>
    <xf numFmtId="0" fontId="0" fillId="26" borderId="32" xfId="0" applyFill="1" applyBorder="1"/>
    <xf numFmtId="0" fontId="0" fillId="26" borderId="14" xfId="0" applyFill="1" applyBorder="1"/>
    <xf numFmtId="0" fontId="0" fillId="26" borderId="15" xfId="0" applyFill="1" applyBorder="1"/>
    <xf numFmtId="0" fontId="0" fillId="26" borderId="16" xfId="0" applyFill="1" applyBorder="1"/>
    <xf numFmtId="0" fontId="0" fillId="27" borderId="14" xfId="0" applyFill="1" applyBorder="1" applyAlignment="1">
      <alignment horizontal="center" vertical="center"/>
    </xf>
    <xf numFmtId="0" fontId="0" fillId="27" borderId="16" xfId="0" applyFill="1" applyBorder="1" applyAlignment="1">
      <alignment horizontal="center" vertical="center"/>
    </xf>
    <xf numFmtId="0" fontId="0" fillId="29" borderId="60" xfId="0" applyFill="1" applyBorder="1"/>
    <xf numFmtId="0" fontId="0" fillId="29" borderId="18" xfId="0" applyFill="1" applyBorder="1"/>
    <xf numFmtId="0" fontId="0" fillId="29" borderId="0" xfId="0" applyFill="1" applyBorder="1"/>
    <xf numFmtId="0" fontId="0" fillId="29" borderId="32" xfId="0" applyFill="1" applyBorder="1"/>
    <xf numFmtId="0" fontId="0" fillId="29" borderId="15" xfId="0" applyFill="1" applyBorder="1"/>
    <xf numFmtId="0" fontId="0" fillId="29" borderId="16" xfId="0" applyFill="1" applyBorder="1"/>
    <xf numFmtId="0" fontId="5" fillId="4" borderId="3" xfId="0" applyFont="1" applyFill="1" applyBorder="1" applyAlignment="1">
      <alignment horizontal="left" vertical="top"/>
    </xf>
    <xf numFmtId="0" fontId="5" fillId="4" borderId="4" xfId="0" applyFont="1" applyFill="1" applyBorder="1" applyAlignment="1">
      <alignment horizontal="left" vertical="top"/>
    </xf>
    <xf numFmtId="0" fontId="5" fillId="4" borderId="2" xfId="0" applyFont="1" applyFill="1" applyBorder="1" applyAlignment="1">
      <alignment horizontal="left" vertical="top"/>
    </xf>
    <xf numFmtId="0" fontId="30" fillId="29" borderId="17" xfId="0" applyFont="1" applyFill="1" applyBorder="1"/>
    <xf numFmtId="0" fontId="30" fillId="29" borderId="31" xfId="0" applyFont="1" applyFill="1" applyBorder="1"/>
    <xf numFmtId="0" fontId="30" fillId="29" borderId="15" xfId="0" applyFont="1" applyFill="1" applyBorder="1"/>
    <xf numFmtId="0" fontId="30" fillId="29" borderId="14" xfId="0" applyFont="1" applyFill="1" applyBorder="1"/>
    <xf numFmtId="0" fontId="31" fillId="26" borderId="0" xfId="2" applyFill="1" applyBorder="1"/>
    <xf numFmtId="0" fontId="32" fillId="26" borderId="0" xfId="0" applyFont="1" applyFill="1" applyBorder="1"/>
    <xf numFmtId="0" fontId="33" fillId="26" borderId="0" xfId="0" applyFont="1" applyFill="1" applyBorder="1"/>
    <xf numFmtId="0" fontId="24" fillId="2" borderId="0" xfId="0" applyFont="1" applyFill="1" applyAlignment="1">
      <alignment horizontal="left" vertical="top"/>
    </xf>
    <xf numFmtId="0" fontId="0" fillId="25" borderId="0" xfId="0" applyFill="1" applyBorder="1" applyAlignment="1">
      <alignment horizontal="center"/>
    </xf>
    <xf numFmtId="0" fontId="5" fillId="4" borderId="4" xfId="0" applyFont="1" applyFill="1" applyBorder="1" applyAlignment="1">
      <alignment horizontal="left" vertical="top" wrapText="1"/>
    </xf>
    <xf numFmtId="0" fontId="5" fillId="4" borderId="2" xfId="0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center" vertical="top" wrapText="1"/>
    </xf>
    <xf numFmtId="0" fontId="5" fillId="4" borderId="2" xfId="0" applyFont="1" applyFill="1" applyBorder="1" applyAlignment="1">
      <alignment horizontal="center" vertical="top" wrapText="1"/>
    </xf>
    <xf numFmtId="0" fontId="6" fillId="17" borderId="6" xfId="0" applyFont="1" applyFill="1" applyBorder="1" applyAlignment="1">
      <alignment horizontal="left" vertical="center" wrapText="1"/>
    </xf>
    <xf numFmtId="0" fontId="12" fillId="14" borderId="11" xfId="0" applyFont="1" applyFill="1" applyBorder="1"/>
    <xf numFmtId="164" fontId="9" fillId="18" borderId="6" xfId="0" applyNumberFormat="1" applyFont="1" applyFill="1" applyBorder="1" applyAlignment="1">
      <alignment horizontal="center" vertical="center"/>
    </xf>
    <xf numFmtId="0" fontId="9" fillId="13" borderId="35" xfId="0" applyFont="1" applyFill="1" applyBorder="1" applyAlignment="1">
      <alignment horizontal="left" vertical="center" wrapText="1"/>
    </xf>
    <xf numFmtId="0" fontId="11" fillId="0" borderId="37" xfId="0" applyFont="1" applyBorder="1"/>
    <xf numFmtId="0" fontId="11" fillId="0" borderId="41" xfId="0" applyFont="1" applyBorder="1"/>
    <xf numFmtId="164" fontId="9" fillId="13" borderId="36" xfId="0" applyNumberFormat="1" applyFont="1" applyFill="1" applyBorder="1" applyAlignment="1">
      <alignment horizontal="center" vertical="center"/>
    </xf>
    <xf numFmtId="0" fontId="11" fillId="0" borderId="38" xfId="0" applyFont="1" applyBorder="1"/>
    <xf numFmtId="0" fontId="11" fillId="0" borderId="42" xfId="0" applyFont="1" applyBorder="1"/>
    <xf numFmtId="0" fontId="9" fillId="12" borderId="35" xfId="0" applyFont="1" applyFill="1" applyBorder="1" applyAlignment="1">
      <alignment horizontal="left" vertical="center" wrapText="1"/>
    </xf>
    <xf numFmtId="0" fontId="11" fillId="0" borderId="39" xfId="0" applyFont="1" applyBorder="1"/>
    <xf numFmtId="164" fontId="20" fillId="9" borderId="36" xfId="0" applyNumberFormat="1" applyFont="1" applyFill="1" applyBorder="1" applyAlignment="1">
      <alignment horizontal="center" vertical="center"/>
    </xf>
    <xf numFmtId="0" fontId="21" fillId="0" borderId="38" xfId="0" applyFont="1" applyBorder="1"/>
    <xf numFmtId="0" fontId="21" fillId="0" borderId="40" xfId="0" applyFont="1" applyBorder="1"/>
    <xf numFmtId="0" fontId="9" fillId="13" borderId="35" xfId="0" applyFont="1" applyFill="1" applyBorder="1" applyAlignment="1">
      <alignment horizontal="left" vertical="center"/>
    </xf>
    <xf numFmtId="0" fontId="11" fillId="0" borderId="40" xfId="0" applyFont="1" applyBorder="1"/>
    <xf numFmtId="1" fontId="22" fillId="9" borderId="36" xfId="0" applyNumberFormat="1" applyFont="1" applyFill="1" applyBorder="1" applyAlignment="1">
      <alignment horizontal="center" vertical="center"/>
    </xf>
    <xf numFmtId="0" fontId="23" fillId="0" borderId="38" xfId="0" applyFont="1" applyBorder="1"/>
    <xf numFmtId="0" fontId="23" fillId="0" borderId="42" xfId="0" applyFont="1" applyBorder="1"/>
    <xf numFmtId="1" fontId="9" fillId="18" borderId="6" xfId="0" applyNumberFormat="1" applyFont="1" applyFill="1" applyBorder="1" applyAlignment="1">
      <alignment horizontal="center" vertical="center"/>
    </xf>
    <xf numFmtId="0" fontId="10" fillId="10" borderId="35" xfId="0" applyFont="1" applyFill="1" applyBorder="1" applyAlignment="1">
      <alignment horizontal="left" vertical="center" wrapText="1"/>
    </xf>
    <xf numFmtId="164" fontId="0" fillId="11" borderId="36" xfId="0" applyNumberFormat="1" applyFont="1" applyFill="1" applyBorder="1" applyAlignment="1">
      <alignment horizontal="center" vertical="center"/>
    </xf>
    <xf numFmtId="0" fontId="9" fillId="12" borderId="35" xfId="0" applyFont="1" applyFill="1" applyBorder="1" applyAlignment="1">
      <alignment horizontal="left" vertical="center"/>
    </xf>
    <xf numFmtId="164" fontId="18" fillId="9" borderId="36" xfId="0" applyNumberFormat="1" applyFont="1" applyFill="1" applyBorder="1" applyAlignment="1">
      <alignment horizontal="center" vertical="center"/>
    </xf>
    <xf numFmtId="0" fontId="19" fillId="0" borderId="38" xfId="0" applyFont="1" applyBorder="1"/>
    <xf numFmtId="0" fontId="19" fillId="0" borderId="40" xfId="0" applyFont="1" applyBorder="1"/>
    <xf numFmtId="0" fontId="14" fillId="24" borderId="3" xfId="0" applyFont="1" applyFill="1" applyBorder="1" applyAlignment="1">
      <alignment horizontal="center" vertical="center"/>
    </xf>
    <xf numFmtId="0" fontId="14" fillId="24" borderId="13" xfId="0" applyFont="1" applyFill="1" applyBorder="1" applyAlignment="1">
      <alignment horizontal="center" vertical="center"/>
    </xf>
    <xf numFmtId="0" fontId="16" fillId="21" borderId="3" xfId="0" applyFont="1" applyFill="1" applyBorder="1" applyAlignment="1">
      <alignment horizontal="left" vertical="top"/>
    </xf>
    <xf numFmtId="0" fontId="0" fillId="21" borderId="12" xfId="0" applyFill="1" applyBorder="1" applyAlignment="1">
      <alignment horizontal="left" vertical="top"/>
    </xf>
    <xf numFmtId="0" fontId="0" fillId="21" borderId="13" xfId="0" applyFill="1" applyBorder="1" applyAlignment="1">
      <alignment horizontal="left" vertical="top"/>
    </xf>
    <xf numFmtId="0" fontId="0" fillId="20" borderId="31" xfId="0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0" fontId="0" fillId="20" borderId="32" xfId="0" applyFill="1" applyBorder="1" applyAlignment="1">
      <alignment horizontal="center"/>
    </xf>
    <xf numFmtId="0" fontId="13" fillId="20" borderId="14" xfId="0" applyFont="1" applyFill="1" applyBorder="1" applyAlignment="1">
      <alignment horizontal="center"/>
    </xf>
    <xf numFmtId="0" fontId="13" fillId="20" borderId="16" xfId="0" applyFont="1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0" fontId="0" fillId="22" borderId="18" xfId="0" applyFill="1" applyBorder="1" applyAlignment="1">
      <alignment horizontal="center"/>
    </xf>
    <xf numFmtId="0" fontId="34" fillId="28" borderId="17" xfId="0" applyFont="1" applyFill="1" applyBorder="1" applyAlignment="1">
      <alignment horizontal="left" vertical="top"/>
    </xf>
    <xf numFmtId="0" fontId="34" fillId="28" borderId="60" xfId="0" applyFont="1" applyFill="1" applyBorder="1" applyAlignment="1">
      <alignment horizontal="left" vertical="top"/>
    </xf>
    <xf numFmtId="0" fontId="34" fillId="28" borderId="18" xfId="0" applyFont="1" applyFill="1" applyBorder="1" applyAlignment="1">
      <alignment horizontal="left" vertical="top"/>
    </xf>
    <xf numFmtId="0" fontId="34" fillId="28" borderId="31" xfId="0" applyFont="1" applyFill="1" applyBorder="1" applyAlignment="1">
      <alignment horizontal="left" vertical="top"/>
    </xf>
    <xf numFmtId="0" fontId="34" fillId="28" borderId="0" xfId="0" applyFont="1" applyFill="1" applyBorder="1" applyAlignment="1">
      <alignment horizontal="left" vertical="top"/>
    </xf>
    <xf numFmtId="0" fontId="34" fillId="28" borderId="32" xfId="0" applyFont="1" applyFill="1" applyBorder="1" applyAlignment="1">
      <alignment horizontal="left" vertical="top"/>
    </xf>
    <xf numFmtId="0" fontId="34" fillId="28" borderId="14" xfId="0" applyFont="1" applyFill="1" applyBorder="1" applyAlignment="1">
      <alignment horizontal="left" vertical="top"/>
    </xf>
    <xf numFmtId="0" fontId="34" fillId="28" borderId="15" xfId="0" applyFont="1" applyFill="1" applyBorder="1" applyAlignment="1">
      <alignment horizontal="left" vertical="top"/>
    </xf>
    <xf numFmtId="0" fontId="34" fillId="28" borderId="16" xfId="0" applyFont="1" applyFill="1" applyBorder="1" applyAlignment="1">
      <alignment horizontal="left" vertical="top"/>
    </xf>
  </cellXfs>
  <cellStyles count="3">
    <cellStyle name="Hiperlink" xfId="2" builtinId="8"/>
    <cellStyle name="Moeda" xfId="1" builtinId="4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99999"/>
        <name val="Calibri"/>
        <family val="2"/>
        <scheme val="none"/>
      </font>
      <numFmt numFmtId="164" formatCode="&quot;R$&quot;\ #,##0.00"/>
      <fill>
        <patternFill patternType="solid">
          <fgColor rgb="FFEAEAEA"/>
          <bgColor rgb="FFEAEAEA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99999"/>
        <name val="Calibri"/>
        <family val="2"/>
        <scheme val="none"/>
      </font>
      <numFmt numFmtId="164" formatCode="&quot;R$&quot;\ #,##0.00"/>
      <fill>
        <patternFill patternType="solid">
          <fgColor rgb="FFEAEAEA"/>
          <bgColor rgb="FFEAEAEA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99999"/>
        <name val="Calibri"/>
        <family val="2"/>
        <scheme val="none"/>
      </font>
      <numFmt numFmtId="164" formatCode="&quot;R$&quot;\ #,##0.00"/>
      <fill>
        <patternFill patternType="solid">
          <fgColor rgb="FFEAEAEA"/>
          <bgColor rgb="FFEAEAEA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99999"/>
        <name val="Calibri"/>
        <family val="2"/>
        <scheme val="none"/>
      </font>
      <numFmt numFmtId="164" formatCode="&quot;R$&quot;\ #,##0.00"/>
      <fill>
        <patternFill patternType="solid">
          <fgColor rgb="FFEAEAEA"/>
          <bgColor rgb="FFEAEAEA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rgb="FFD8D8D8"/>
        </left>
        <right style="thin">
          <color rgb="FFD8D8D8"/>
        </right>
        <top style="thin">
          <color rgb="FFD8D8D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rgb="FFD8D8D8"/>
        </left>
        <right style="thin">
          <color rgb="FFD8D8D8"/>
        </right>
        <top style="thin">
          <color rgb="FFD8D8D8"/>
        </top>
        <bottom style="thin">
          <color rgb="FFD8D8D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rgb="FFD8D8D8"/>
        </left>
        <right style="thin">
          <color rgb="FFD8D8D8"/>
        </right>
        <top style="thin">
          <color rgb="FFD8D8D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rgb="FFD8D8D8"/>
        </left>
        <right style="thin">
          <color rgb="FFD8D8D8"/>
        </right>
        <top style="thin">
          <color rgb="FFD8D8D8"/>
        </top>
        <bottom style="thin">
          <color rgb="FFD8D8D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rgb="FFD8D8D8"/>
        </left>
        <right style="thin">
          <color rgb="FFD8D8D8"/>
        </right>
        <top style="thin">
          <color rgb="FFD8D8D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rgb="FFD8D8D8"/>
        </left>
        <right style="thin">
          <color rgb="FFD8D8D8"/>
        </right>
        <top style="thin">
          <color rgb="FFD8D8D8"/>
        </top>
        <bottom style="thin">
          <color rgb="FFD8D8D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rgb="FFD8D8D8"/>
        </left>
        <right style="thin">
          <color rgb="FFD8D8D8"/>
        </right>
        <top style="thin">
          <color rgb="FFD8D8D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rgb="FFD8D8D8"/>
        </left>
        <right style="thin">
          <color rgb="FFD8D8D8"/>
        </right>
        <top style="thin">
          <color rgb="FFD8D8D8"/>
        </top>
        <bottom style="thin">
          <color rgb="FFD8D8D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99999"/>
        <name val="Calibri"/>
        <family val="2"/>
        <scheme val="none"/>
      </font>
      <numFmt numFmtId="13" formatCode="0%"/>
      <fill>
        <patternFill patternType="solid">
          <fgColor rgb="FFEAEAEA"/>
          <bgColor rgb="FFEAEAEA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99999"/>
        <name val="Calibri"/>
        <family val="2"/>
        <scheme val="none"/>
      </font>
      <numFmt numFmtId="13" formatCode="0%"/>
      <fill>
        <patternFill patternType="solid">
          <fgColor rgb="FFEAEAEA"/>
          <bgColor rgb="FFEAEAEA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499984740745262"/>
        <name val="Calibri"/>
        <family val="2"/>
        <scheme val="none"/>
      </font>
      <numFmt numFmtId="164" formatCode="&quot;R$&quot;\ #,##0.00"/>
      <fill>
        <patternFill patternType="solid">
          <fgColor rgb="FFEAEAEA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99999"/>
        <name val="Calibri"/>
        <family val="2"/>
        <scheme val="none"/>
      </font>
      <numFmt numFmtId="164" formatCode="&quot;R$&quot;\ #,##0.00"/>
      <fill>
        <patternFill patternType="solid">
          <fgColor rgb="FFEAEAEA"/>
          <bgColor rgb="FFEAEAEA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8D8D8"/>
        </left>
        <right style="thin">
          <color rgb="FFD8D8D8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D8D8D8"/>
        </left>
        <right style="thin">
          <color rgb="FFD8D8D8"/>
        </right>
        <top style="thin">
          <color rgb="FFD8D8D8"/>
        </top>
        <bottom style="thin">
          <color rgb="FFD8D8D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64" formatCode="&quot;R$&quot;\ 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D8D8D8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rgb="FFD8D8D8"/>
        </left>
        <right style="thin">
          <color rgb="FFD8D8D8"/>
        </right>
        <top/>
        <bottom style="thin">
          <color rgb="FFD8D8D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D8D8D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D8D8D8"/>
        </left>
        <right style="thin">
          <color rgb="FFD8D8D8"/>
        </right>
        <top/>
        <bottom style="thin">
          <color rgb="FFD8D8D8"/>
        </bottom>
        <vertical/>
        <horizontal/>
      </border>
    </dxf>
    <dxf>
      <border outline="0">
        <top style="medium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none"/>
      </font>
      <fill>
        <patternFill patternType="solid">
          <fgColor rgb="FF2E75B5"/>
          <bgColor rgb="FF2E75B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A&#199;OES!A1"/><Relationship Id="rId2" Type="http://schemas.openxmlformats.org/officeDocument/2006/relationships/hyperlink" Target="#INDICADORES!A1"/><Relationship Id="rId1" Type="http://schemas.openxmlformats.org/officeDocument/2006/relationships/hyperlink" Target="#'PONTO EQUILIBRIO'!A1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A&#199;OES!A1"/><Relationship Id="rId2" Type="http://schemas.openxmlformats.org/officeDocument/2006/relationships/hyperlink" Target="#INDICADORES!A1"/><Relationship Id="rId1" Type="http://schemas.openxmlformats.org/officeDocument/2006/relationships/hyperlink" Target="#'PONTO EQUILIBRIO'!A1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PONTO EQUILIBRIO'!A1"/><Relationship Id="rId2" Type="http://schemas.openxmlformats.org/officeDocument/2006/relationships/image" Target="../media/image4.png"/><Relationship Id="rId1" Type="http://schemas.openxmlformats.org/officeDocument/2006/relationships/hyperlink" Target="http://WWW.DB3CENTER.COM.BR" TargetMode="External"/><Relationship Id="rId5" Type="http://schemas.openxmlformats.org/officeDocument/2006/relationships/hyperlink" Target="#INFORMA&#199;OES!A1"/><Relationship Id="rId4" Type="http://schemas.openxmlformats.org/officeDocument/2006/relationships/hyperlink" Target="#INDICADOR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165652</xdr:colOff>
      <xdr:row>0</xdr:row>
      <xdr:rowOff>0</xdr:rowOff>
    </xdr:from>
    <xdr:to>
      <xdr:col>13</xdr:col>
      <xdr:colOff>251792</xdr:colOff>
      <xdr:row>2</xdr:row>
      <xdr:rowOff>33129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FD30C5-FE8D-43CE-8646-595784109F49}"/>
            </a:ext>
          </a:extLst>
        </xdr:cNvPr>
        <xdr:cNvSpPr/>
      </xdr:nvSpPr>
      <xdr:spPr>
        <a:xfrm>
          <a:off x="7957930" y="0"/>
          <a:ext cx="1914940" cy="4041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PONTO</a:t>
          </a:r>
          <a:r>
            <a:rPr lang="pt-BR" sz="1600" b="0" cap="none" spc="0" baseline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EQUILIBRIO</a:t>
          </a:r>
          <a:endParaRPr lang="pt-BR" sz="1600" b="0" cap="none" spc="0">
            <a:ln w="0">
              <a:solidFill>
                <a:schemeClr val="accent1">
                  <a:lumMod val="20000"/>
                  <a:lumOff val="80000"/>
                </a:schemeClr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66260</xdr:colOff>
      <xdr:row>0</xdr:row>
      <xdr:rowOff>0</xdr:rowOff>
    </xdr:from>
    <xdr:to>
      <xdr:col>10</xdr:col>
      <xdr:colOff>152400</xdr:colOff>
      <xdr:row>2</xdr:row>
      <xdr:rowOff>33129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286BAAD-B503-4E2B-9D6D-F1B762C4D29B}"/>
            </a:ext>
          </a:extLst>
        </xdr:cNvPr>
        <xdr:cNvSpPr/>
      </xdr:nvSpPr>
      <xdr:spPr>
        <a:xfrm>
          <a:off x="6029738" y="0"/>
          <a:ext cx="1914940" cy="4041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INDICADORES</a:t>
          </a:r>
        </a:p>
        <a:p>
          <a:pPr algn="ctr"/>
          <a:endParaRPr lang="pt-BR" sz="1600" b="0" cap="none" spc="0">
            <a:ln w="0">
              <a:solidFill>
                <a:schemeClr val="accent1">
                  <a:lumMod val="20000"/>
                  <a:lumOff val="80000"/>
                </a:schemeClr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245164</xdr:colOff>
      <xdr:row>0</xdr:row>
      <xdr:rowOff>0</xdr:rowOff>
    </xdr:from>
    <xdr:to>
      <xdr:col>7</xdr:col>
      <xdr:colOff>17630</xdr:colOff>
      <xdr:row>2</xdr:row>
      <xdr:rowOff>33129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AA4BD5-66F4-4888-A182-E103C1B3F09E}"/>
            </a:ext>
          </a:extLst>
        </xdr:cNvPr>
        <xdr:cNvSpPr/>
      </xdr:nvSpPr>
      <xdr:spPr>
        <a:xfrm>
          <a:off x="4989442" y="0"/>
          <a:ext cx="991666" cy="4041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INICIO</a:t>
          </a:r>
        </a:p>
      </xdr:txBody>
    </xdr:sp>
    <xdr:clientData/>
  </xdr:twoCellAnchor>
  <xdr:twoCellAnchor editAs="oneCell">
    <xdr:from>
      <xdr:col>4</xdr:col>
      <xdr:colOff>583095</xdr:colOff>
      <xdr:row>8</xdr:row>
      <xdr:rowOff>125895</xdr:rowOff>
    </xdr:from>
    <xdr:to>
      <xdr:col>9</xdr:col>
      <xdr:colOff>351182</xdr:colOff>
      <xdr:row>20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46140A9-E52B-4595-A8D2-4159441ED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7773" y="2054086"/>
          <a:ext cx="2816087" cy="28160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463826</xdr:colOff>
      <xdr:row>3</xdr:row>
      <xdr:rowOff>13252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16922C8A-B8E5-4A36-B9DD-072F4C2BD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26" cy="463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37768</xdr:colOff>
      <xdr:row>0</xdr:row>
      <xdr:rowOff>0</xdr:rowOff>
    </xdr:from>
    <xdr:to>
      <xdr:col>7</xdr:col>
      <xdr:colOff>2202179</xdr:colOff>
      <xdr:row>0</xdr:row>
      <xdr:rowOff>502920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0D2558-BC2C-4C5C-BC3D-3DE23C8559C7}"/>
            </a:ext>
          </a:extLst>
        </xdr:cNvPr>
        <xdr:cNvSpPr/>
      </xdr:nvSpPr>
      <xdr:spPr>
        <a:xfrm>
          <a:off x="8160688" y="0"/>
          <a:ext cx="2164411" cy="5029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PONTO</a:t>
          </a:r>
          <a:r>
            <a:rPr lang="pt-BR" sz="1600" b="0" cap="none" spc="0" baseline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EQUILIBRIO</a:t>
          </a:r>
          <a:endParaRPr lang="pt-BR" sz="1600" b="0" cap="none" spc="0">
            <a:ln w="0">
              <a:solidFill>
                <a:schemeClr val="accent1">
                  <a:lumMod val="20000"/>
                  <a:lumOff val="80000"/>
                </a:schemeClr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22196</xdr:colOff>
      <xdr:row>0</xdr:row>
      <xdr:rowOff>7620</xdr:rowOff>
    </xdr:from>
    <xdr:to>
      <xdr:col>6</xdr:col>
      <xdr:colOff>2186607</xdr:colOff>
      <xdr:row>0</xdr:row>
      <xdr:rowOff>510540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A4F97A0-7E94-43C8-9A2F-2EA912D87A72}"/>
            </a:ext>
          </a:extLst>
        </xdr:cNvPr>
        <xdr:cNvSpPr/>
      </xdr:nvSpPr>
      <xdr:spPr>
        <a:xfrm>
          <a:off x="5798156" y="7620"/>
          <a:ext cx="2164411" cy="5029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INDICADORES</a:t>
          </a:r>
        </a:p>
        <a:p>
          <a:pPr algn="ctr"/>
          <a:endParaRPr lang="pt-BR" sz="1600" b="0" cap="none" spc="0">
            <a:ln w="0">
              <a:solidFill>
                <a:schemeClr val="accent1">
                  <a:lumMod val="20000"/>
                  <a:lumOff val="80000"/>
                </a:schemeClr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883919</xdr:colOff>
      <xdr:row>0</xdr:row>
      <xdr:rowOff>7620</xdr:rowOff>
    </xdr:from>
    <xdr:to>
      <xdr:col>5</xdr:col>
      <xdr:colOff>739470</xdr:colOff>
      <xdr:row>0</xdr:row>
      <xdr:rowOff>510540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17BA6-8FC5-400C-BF41-335C9220F989}"/>
            </a:ext>
          </a:extLst>
        </xdr:cNvPr>
        <xdr:cNvSpPr/>
      </xdr:nvSpPr>
      <xdr:spPr>
        <a:xfrm>
          <a:off x="3596639" y="7620"/>
          <a:ext cx="2164411" cy="5029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INICIO</a:t>
          </a:r>
        </a:p>
      </xdr:txBody>
    </xdr:sp>
    <xdr:clientData/>
  </xdr:twoCellAnchor>
  <xdr:twoCellAnchor editAs="oneCell">
    <xdr:from>
      <xdr:col>7</xdr:col>
      <xdr:colOff>2887980</xdr:colOff>
      <xdr:row>0</xdr:row>
      <xdr:rowOff>0</xdr:rowOff>
    </xdr:from>
    <xdr:to>
      <xdr:col>8</xdr:col>
      <xdr:colOff>0</xdr:colOff>
      <xdr:row>1</xdr:row>
      <xdr:rowOff>7620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E808654-A18C-4796-9A88-B8EA12455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0900" y="0"/>
          <a:ext cx="815340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0</xdr:row>
      <xdr:rowOff>0</xdr:rowOff>
    </xdr:from>
    <xdr:to>
      <xdr:col>9</xdr:col>
      <xdr:colOff>982980</xdr:colOff>
      <xdr:row>0</xdr:row>
      <xdr:rowOff>601980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8FB31F-7A93-4EB6-B236-0DD42152F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0" y="0"/>
          <a:ext cx="601980" cy="601980"/>
        </a:xfrm>
        <a:prstGeom prst="rect">
          <a:avLst/>
        </a:prstGeom>
      </xdr:spPr>
    </xdr:pic>
    <xdr:clientData/>
  </xdr:twoCellAnchor>
  <xdr:twoCellAnchor>
    <xdr:from>
      <xdr:col>6</xdr:col>
      <xdr:colOff>403529</xdr:colOff>
      <xdr:row>0</xdr:row>
      <xdr:rowOff>0</xdr:rowOff>
    </xdr:from>
    <xdr:to>
      <xdr:col>8</xdr:col>
      <xdr:colOff>1021080</xdr:colOff>
      <xdr:row>0</xdr:row>
      <xdr:rowOff>502920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70CA69-F717-4E23-BFF7-3D12BFA5A902}"/>
            </a:ext>
          </a:extLst>
        </xdr:cNvPr>
        <xdr:cNvSpPr/>
      </xdr:nvSpPr>
      <xdr:spPr>
        <a:xfrm>
          <a:off x="8252129" y="0"/>
          <a:ext cx="2164411" cy="5029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PONTO</a:t>
          </a:r>
          <a:r>
            <a:rPr lang="pt-BR" sz="1600" b="0" cap="none" spc="0" baseline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EQUILIBRIO</a:t>
          </a:r>
          <a:endParaRPr lang="pt-BR" sz="1600" b="0" cap="none" spc="0">
            <a:ln w="0">
              <a:solidFill>
                <a:schemeClr val="accent1">
                  <a:lumMod val="20000"/>
                  <a:lumOff val="80000"/>
                </a:schemeClr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273657</xdr:colOff>
      <xdr:row>0</xdr:row>
      <xdr:rowOff>7620</xdr:rowOff>
    </xdr:from>
    <xdr:to>
      <xdr:col>6</xdr:col>
      <xdr:colOff>205408</xdr:colOff>
      <xdr:row>0</xdr:row>
      <xdr:rowOff>510540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436D21-7323-4A70-B289-8E88610A04C3}"/>
            </a:ext>
          </a:extLst>
        </xdr:cNvPr>
        <xdr:cNvSpPr/>
      </xdr:nvSpPr>
      <xdr:spPr>
        <a:xfrm>
          <a:off x="5889597" y="7620"/>
          <a:ext cx="2164411" cy="5029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INDICADORES</a:t>
          </a:r>
        </a:p>
        <a:p>
          <a:pPr algn="ctr"/>
          <a:endParaRPr lang="pt-BR" sz="1600" b="0" cap="none" spc="0">
            <a:ln w="0">
              <a:solidFill>
                <a:schemeClr val="accent1">
                  <a:lumMod val="20000"/>
                  <a:lumOff val="80000"/>
                </a:schemeClr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175260</xdr:colOff>
      <xdr:row>0</xdr:row>
      <xdr:rowOff>7620</xdr:rowOff>
    </xdr:from>
    <xdr:to>
      <xdr:col>4</xdr:col>
      <xdr:colOff>236551</xdr:colOff>
      <xdr:row>0</xdr:row>
      <xdr:rowOff>510540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82DD463-B776-4744-B2F4-8EFC3D5AFD82}"/>
            </a:ext>
          </a:extLst>
        </xdr:cNvPr>
        <xdr:cNvSpPr/>
      </xdr:nvSpPr>
      <xdr:spPr>
        <a:xfrm>
          <a:off x="3688080" y="7620"/>
          <a:ext cx="2164411" cy="5029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INICIO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b3PEquilib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ad"/>
      <sheetName val="PE"/>
      <sheetName val="AC"/>
      <sheetName val="RC"/>
      <sheetName val="GR"/>
      <sheetName val="GR_Dados"/>
    </sheetNames>
    <sheetDataSet>
      <sheetData sheetId="0"/>
      <sheetData sheetId="1">
        <row r="12">
          <cell r="B12" t="str">
            <v>Camisa</v>
          </cell>
        </row>
        <row r="13">
          <cell r="B13" t="str">
            <v>Calça</v>
          </cell>
        </row>
        <row r="14">
          <cell r="B14" t="str">
            <v>Camiseta</v>
          </cell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26">
          <cell r="B26"/>
        </row>
        <row r="27">
          <cell r="B27"/>
        </row>
        <row r="28">
          <cell r="B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  <row r="37">
          <cell r="B37"/>
        </row>
        <row r="38">
          <cell r="B38"/>
        </row>
        <row r="39">
          <cell r="B39"/>
        </row>
        <row r="40">
          <cell r="B40"/>
        </row>
        <row r="41">
          <cell r="B41"/>
        </row>
        <row r="42">
          <cell r="B42"/>
        </row>
        <row r="43">
          <cell r="B43"/>
        </row>
        <row r="44">
          <cell r="B44"/>
        </row>
        <row r="45">
          <cell r="B45"/>
        </row>
        <row r="46">
          <cell r="B46"/>
        </row>
        <row r="47">
          <cell r="B47"/>
        </row>
        <row r="48">
          <cell r="B48"/>
        </row>
        <row r="49">
          <cell r="B49"/>
        </row>
        <row r="50">
          <cell r="B50"/>
        </row>
        <row r="51">
          <cell r="B51"/>
        </row>
        <row r="52">
          <cell r="B52"/>
        </row>
        <row r="53">
          <cell r="B53"/>
        </row>
        <row r="54">
          <cell r="B54"/>
        </row>
        <row r="55">
          <cell r="B55"/>
        </row>
        <row r="56">
          <cell r="B56"/>
        </row>
        <row r="57">
          <cell r="B57"/>
        </row>
        <row r="58">
          <cell r="B58"/>
        </row>
        <row r="59">
          <cell r="B59"/>
        </row>
        <row r="60">
          <cell r="B60"/>
        </row>
        <row r="61">
          <cell r="B61"/>
        </row>
        <row r="62">
          <cell r="B62"/>
        </row>
        <row r="63">
          <cell r="B63"/>
        </row>
        <row r="64">
          <cell r="B64"/>
        </row>
        <row r="65">
          <cell r="B65"/>
        </row>
        <row r="66">
          <cell r="B66"/>
        </row>
        <row r="67">
          <cell r="B67"/>
        </row>
        <row r="68">
          <cell r="B68"/>
        </row>
        <row r="69">
          <cell r="B69"/>
        </row>
        <row r="70">
          <cell r="B70"/>
        </row>
        <row r="71">
          <cell r="B71"/>
        </row>
        <row r="72">
          <cell r="B72"/>
        </row>
        <row r="73">
          <cell r="B73"/>
        </row>
        <row r="74">
          <cell r="B74"/>
        </row>
        <row r="75">
          <cell r="B75"/>
        </row>
        <row r="76">
          <cell r="B76"/>
        </row>
        <row r="77">
          <cell r="B77"/>
        </row>
        <row r="78">
          <cell r="B78"/>
        </row>
        <row r="79">
          <cell r="B79"/>
        </row>
        <row r="80">
          <cell r="B80"/>
        </row>
        <row r="81">
          <cell r="B81"/>
        </row>
        <row r="82">
          <cell r="B82"/>
        </row>
        <row r="83">
          <cell r="B83"/>
        </row>
        <row r="84">
          <cell r="B84"/>
        </row>
        <row r="85">
          <cell r="B85"/>
        </row>
        <row r="86">
          <cell r="B86"/>
        </row>
        <row r="87">
          <cell r="B87"/>
        </row>
        <row r="88">
          <cell r="B88"/>
        </row>
        <row r="89">
          <cell r="B89"/>
        </row>
        <row r="90">
          <cell r="B90"/>
        </row>
        <row r="91">
          <cell r="B91"/>
        </row>
        <row r="92">
          <cell r="B92"/>
        </row>
        <row r="93">
          <cell r="B93"/>
        </row>
        <row r="94">
          <cell r="B94"/>
        </row>
        <row r="95">
          <cell r="B95"/>
        </row>
        <row r="96">
          <cell r="B96"/>
        </row>
        <row r="97">
          <cell r="B97"/>
        </row>
        <row r="98">
          <cell r="B98"/>
        </row>
        <row r="99">
          <cell r="B99"/>
        </row>
        <row r="100">
          <cell r="B100"/>
        </row>
        <row r="101">
          <cell r="B101"/>
        </row>
        <row r="102">
          <cell r="B102"/>
        </row>
        <row r="103">
          <cell r="B103"/>
        </row>
        <row r="104">
          <cell r="B104"/>
        </row>
        <row r="105">
          <cell r="B105"/>
        </row>
        <row r="106">
          <cell r="B106"/>
        </row>
        <row r="107">
          <cell r="B107"/>
        </row>
        <row r="108">
          <cell r="B108"/>
        </row>
        <row r="109">
          <cell r="B109"/>
        </row>
        <row r="110">
          <cell r="B110"/>
        </row>
        <row r="111">
          <cell r="B111"/>
        </row>
        <row r="112">
          <cell r="B112"/>
        </row>
        <row r="113">
          <cell r="B113"/>
        </row>
        <row r="114">
          <cell r="B114"/>
        </row>
        <row r="115">
          <cell r="B115"/>
        </row>
        <row r="116">
          <cell r="B116"/>
        </row>
        <row r="117">
          <cell r="B117"/>
        </row>
        <row r="118">
          <cell r="B118"/>
        </row>
        <row r="119">
          <cell r="B119"/>
        </row>
        <row r="120">
          <cell r="B120"/>
        </row>
        <row r="121">
          <cell r="B121"/>
        </row>
        <row r="122">
          <cell r="B122"/>
        </row>
        <row r="123">
          <cell r="B123"/>
        </row>
        <row r="124">
          <cell r="B124"/>
        </row>
        <row r="125">
          <cell r="B125"/>
        </row>
        <row r="126">
          <cell r="B126"/>
        </row>
        <row r="127">
          <cell r="B127"/>
        </row>
        <row r="128">
          <cell r="B128"/>
        </row>
        <row r="129">
          <cell r="B129"/>
        </row>
        <row r="130">
          <cell r="B130"/>
        </row>
        <row r="131">
          <cell r="B131"/>
        </row>
        <row r="132">
          <cell r="B132"/>
        </row>
        <row r="133">
          <cell r="B133"/>
        </row>
        <row r="134">
          <cell r="B134"/>
        </row>
        <row r="135">
          <cell r="B135"/>
        </row>
        <row r="136">
          <cell r="B136"/>
        </row>
        <row r="137">
          <cell r="B137"/>
        </row>
        <row r="138">
          <cell r="B138"/>
        </row>
        <row r="139">
          <cell r="B139"/>
        </row>
        <row r="140">
          <cell r="B140"/>
        </row>
        <row r="141">
          <cell r="B141"/>
        </row>
        <row r="142">
          <cell r="B142"/>
        </row>
        <row r="143">
          <cell r="B143"/>
        </row>
        <row r="144">
          <cell r="B144"/>
        </row>
        <row r="145">
          <cell r="B145"/>
        </row>
        <row r="146">
          <cell r="B146"/>
        </row>
        <row r="147">
          <cell r="B147"/>
        </row>
        <row r="148">
          <cell r="B148"/>
        </row>
        <row r="149">
          <cell r="B149"/>
        </row>
        <row r="150">
          <cell r="B150"/>
        </row>
        <row r="151">
          <cell r="B151"/>
        </row>
        <row r="152">
          <cell r="B152"/>
        </row>
        <row r="153">
          <cell r="B153"/>
        </row>
        <row r="154">
          <cell r="B154"/>
        </row>
        <row r="155">
          <cell r="B155"/>
        </row>
        <row r="156">
          <cell r="B156"/>
        </row>
        <row r="157">
          <cell r="B157"/>
        </row>
        <row r="158">
          <cell r="B158"/>
        </row>
        <row r="159">
          <cell r="B159"/>
        </row>
        <row r="160">
          <cell r="B160"/>
        </row>
        <row r="161">
          <cell r="B161"/>
        </row>
        <row r="162">
          <cell r="B162"/>
        </row>
        <row r="163">
          <cell r="B163"/>
        </row>
        <row r="164">
          <cell r="B164"/>
        </row>
        <row r="165">
          <cell r="B165"/>
        </row>
        <row r="166">
          <cell r="B166"/>
        </row>
        <row r="167">
          <cell r="B167"/>
        </row>
        <row r="168">
          <cell r="B168"/>
        </row>
        <row r="169">
          <cell r="B169"/>
        </row>
        <row r="170">
          <cell r="B170"/>
        </row>
        <row r="171">
          <cell r="B171"/>
        </row>
        <row r="172">
          <cell r="B172"/>
        </row>
        <row r="173">
          <cell r="B173"/>
        </row>
        <row r="174">
          <cell r="B174"/>
        </row>
        <row r="175">
          <cell r="B175"/>
        </row>
        <row r="176">
          <cell r="B176"/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183">
          <cell r="B183"/>
        </row>
        <row r="184">
          <cell r="B184"/>
        </row>
        <row r="185">
          <cell r="B185"/>
        </row>
        <row r="186">
          <cell r="B186"/>
        </row>
        <row r="187">
          <cell r="B187"/>
        </row>
        <row r="188">
          <cell r="B188"/>
        </row>
        <row r="189">
          <cell r="B189"/>
        </row>
        <row r="190">
          <cell r="B190"/>
        </row>
        <row r="191">
          <cell r="B191"/>
        </row>
        <row r="192">
          <cell r="B192"/>
        </row>
        <row r="193">
          <cell r="B193"/>
        </row>
        <row r="194">
          <cell r="B194"/>
        </row>
        <row r="195">
          <cell r="B195"/>
        </row>
        <row r="196">
          <cell r="B196"/>
        </row>
        <row r="197">
          <cell r="B197"/>
        </row>
        <row r="198">
          <cell r="B198"/>
        </row>
        <row r="199">
          <cell r="B199"/>
        </row>
        <row r="200">
          <cell r="B200"/>
        </row>
        <row r="201">
          <cell r="B201"/>
        </row>
        <row r="202">
          <cell r="B202"/>
        </row>
        <row r="203">
          <cell r="B203"/>
        </row>
        <row r="204">
          <cell r="B204"/>
        </row>
        <row r="205">
          <cell r="B205"/>
        </row>
        <row r="206">
          <cell r="B206"/>
        </row>
        <row r="207">
          <cell r="B207"/>
        </row>
        <row r="208">
          <cell r="B208"/>
        </row>
        <row r="209">
          <cell r="B209"/>
        </row>
        <row r="210">
          <cell r="B210"/>
        </row>
        <row r="211">
          <cell r="B211"/>
        </row>
        <row r="212">
          <cell r="B212"/>
        </row>
        <row r="213">
          <cell r="B213"/>
        </row>
        <row r="214">
          <cell r="B214"/>
        </row>
        <row r="215">
          <cell r="B215"/>
        </row>
        <row r="216">
          <cell r="B216"/>
        </row>
        <row r="217">
          <cell r="B217"/>
        </row>
        <row r="218">
          <cell r="B218"/>
        </row>
        <row r="219">
          <cell r="B219"/>
        </row>
        <row r="220">
          <cell r="B220"/>
        </row>
        <row r="221">
          <cell r="B221"/>
        </row>
        <row r="222">
          <cell r="B222"/>
        </row>
        <row r="223">
          <cell r="B223"/>
        </row>
        <row r="224">
          <cell r="B224"/>
        </row>
        <row r="225">
          <cell r="B225"/>
        </row>
        <row r="226">
          <cell r="B226"/>
        </row>
        <row r="227">
          <cell r="B227"/>
        </row>
        <row r="228">
          <cell r="B228"/>
        </row>
        <row r="229">
          <cell r="B229"/>
        </row>
        <row r="230">
          <cell r="B230"/>
        </row>
        <row r="231">
          <cell r="B231"/>
        </row>
        <row r="232">
          <cell r="B232"/>
        </row>
        <row r="233">
          <cell r="B233"/>
        </row>
        <row r="234">
          <cell r="B234"/>
        </row>
        <row r="235">
          <cell r="B235"/>
        </row>
        <row r="236">
          <cell r="B236"/>
        </row>
        <row r="237">
          <cell r="B237"/>
        </row>
        <row r="238">
          <cell r="B238"/>
        </row>
        <row r="239">
          <cell r="B239"/>
        </row>
        <row r="240">
          <cell r="B240"/>
        </row>
        <row r="241">
          <cell r="B241"/>
        </row>
        <row r="242">
          <cell r="B242"/>
        </row>
        <row r="243">
          <cell r="B243"/>
        </row>
        <row r="244">
          <cell r="B244"/>
        </row>
        <row r="245">
          <cell r="B245"/>
        </row>
        <row r="246">
          <cell r="B246"/>
        </row>
        <row r="247">
          <cell r="B247"/>
        </row>
        <row r="248">
          <cell r="B248"/>
        </row>
        <row r="249">
          <cell r="B249"/>
        </row>
        <row r="250">
          <cell r="B250"/>
        </row>
        <row r="251">
          <cell r="B251"/>
        </row>
        <row r="252">
          <cell r="B252"/>
        </row>
        <row r="253">
          <cell r="B253"/>
        </row>
        <row r="254">
          <cell r="B254"/>
        </row>
        <row r="255">
          <cell r="B255"/>
        </row>
        <row r="256">
          <cell r="B256"/>
        </row>
        <row r="257">
          <cell r="B257"/>
        </row>
        <row r="258">
          <cell r="B258"/>
        </row>
        <row r="259">
          <cell r="B259"/>
        </row>
        <row r="260">
          <cell r="B260"/>
        </row>
        <row r="261">
          <cell r="B261"/>
        </row>
        <row r="262">
          <cell r="B262"/>
        </row>
        <row r="263">
          <cell r="B263"/>
        </row>
        <row r="264">
          <cell r="B264"/>
        </row>
        <row r="265">
          <cell r="B265"/>
        </row>
        <row r="266">
          <cell r="B266"/>
        </row>
        <row r="267">
          <cell r="B267"/>
        </row>
        <row r="268">
          <cell r="B268"/>
        </row>
        <row r="269">
          <cell r="B269"/>
        </row>
        <row r="270">
          <cell r="B270"/>
        </row>
        <row r="271">
          <cell r="B271"/>
        </row>
        <row r="272">
          <cell r="B272"/>
        </row>
        <row r="273">
          <cell r="B273"/>
        </row>
        <row r="274">
          <cell r="B274"/>
        </row>
        <row r="275">
          <cell r="B275"/>
        </row>
        <row r="276">
          <cell r="B276"/>
        </row>
        <row r="277">
          <cell r="B277"/>
        </row>
        <row r="278">
          <cell r="B278"/>
        </row>
        <row r="279">
          <cell r="B279"/>
        </row>
        <row r="280">
          <cell r="B280"/>
        </row>
        <row r="281">
          <cell r="B281"/>
        </row>
        <row r="282">
          <cell r="B282"/>
        </row>
        <row r="283">
          <cell r="B283"/>
        </row>
        <row r="284">
          <cell r="B284"/>
        </row>
        <row r="285">
          <cell r="B285"/>
        </row>
        <row r="286">
          <cell r="B286"/>
        </row>
        <row r="287">
          <cell r="B287"/>
        </row>
        <row r="288">
          <cell r="B288"/>
        </row>
        <row r="289">
          <cell r="B289"/>
        </row>
        <row r="290">
          <cell r="B290"/>
        </row>
        <row r="291">
          <cell r="B291"/>
        </row>
        <row r="292">
          <cell r="B292"/>
        </row>
        <row r="293">
          <cell r="B293"/>
        </row>
        <row r="294">
          <cell r="B294"/>
        </row>
        <row r="295">
          <cell r="B295"/>
        </row>
        <row r="296">
          <cell r="B296"/>
        </row>
        <row r="297">
          <cell r="B297"/>
        </row>
        <row r="298">
          <cell r="B298"/>
        </row>
        <row r="299">
          <cell r="B299"/>
        </row>
        <row r="300">
          <cell r="B300"/>
        </row>
        <row r="301">
          <cell r="B301"/>
        </row>
        <row r="302">
          <cell r="B302"/>
        </row>
        <row r="303">
          <cell r="B303"/>
        </row>
        <row r="304">
          <cell r="B304"/>
        </row>
        <row r="305">
          <cell r="B305"/>
        </row>
        <row r="306">
          <cell r="B306"/>
        </row>
        <row r="307">
          <cell r="B307"/>
        </row>
        <row r="308">
          <cell r="B308"/>
        </row>
        <row r="309">
          <cell r="B309"/>
        </row>
        <row r="310">
          <cell r="B310"/>
        </row>
        <row r="311">
          <cell r="B311"/>
        </row>
        <row r="312">
          <cell r="B312"/>
        </row>
        <row r="313">
          <cell r="B313"/>
        </row>
        <row r="314">
          <cell r="B314"/>
        </row>
        <row r="315">
          <cell r="B315"/>
        </row>
        <row r="316">
          <cell r="B316"/>
        </row>
        <row r="317">
          <cell r="B317"/>
        </row>
        <row r="318">
          <cell r="B318"/>
        </row>
        <row r="319">
          <cell r="B319"/>
        </row>
        <row r="320">
          <cell r="B320"/>
        </row>
        <row r="321">
          <cell r="B321"/>
        </row>
        <row r="322">
          <cell r="B322"/>
        </row>
        <row r="323">
          <cell r="B323"/>
        </row>
        <row r="324">
          <cell r="B324"/>
        </row>
        <row r="325">
          <cell r="B325"/>
        </row>
        <row r="326">
          <cell r="B326"/>
        </row>
        <row r="327">
          <cell r="B327"/>
        </row>
        <row r="328">
          <cell r="B328"/>
        </row>
        <row r="329">
          <cell r="B329"/>
        </row>
        <row r="330">
          <cell r="B330"/>
        </row>
        <row r="331">
          <cell r="B331"/>
        </row>
        <row r="332">
          <cell r="B332"/>
        </row>
        <row r="333">
          <cell r="B333"/>
        </row>
        <row r="334">
          <cell r="B334"/>
        </row>
        <row r="335">
          <cell r="B335"/>
        </row>
        <row r="336">
          <cell r="B336"/>
        </row>
        <row r="337">
          <cell r="B337"/>
        </row>
        <row r="338">
          <cell r="B338"/>
        </row>
        <row r="339">
          <cell r="B339"/>
        </row>
        <row r="340">
          <cell r="B340"/>
        </row>
        <row r="341">
          <cell r="B341"/>
        </row>
        <row r="342">
          <cell r="B342"/>
        </row>
        <row r="343">
          <cell r="B343"/>
        </row>
        <row r="344">
          <cell r="B344"/>
        </row>
        <row r="345">
          <cell r="B345"/>
        </row>
        <row r="346">
          <cell r="B346"/>
        </row>
        <row r="347">
          <cell r="B347"/>
        </row>
        <row r="348">
          <cell r="B348"/>
        </row>
        <row r="349">
          <cell r="B349"/>
        </row>
        <row r="350">
          <cell r="B350"/>
        </row>
        <row r="351">
          <cell r="B351"/>
        </row>
        <row r="352">
          <cell r="B352"/>
        </row>
        <row r="353">
          <cell r="B353"/>
        </row>
        <row r="354">
          <cell r="B354"/>
        </row>
        <row r="355">
          <cell r="B355"/>
        </row>
        <row r="356">
          <cell r="B356"/>
        </row>
        <row r="357">
          <cell r="B357"/>
        </row>
        <row r="358">
          <cell r="B358"/>
        </row>
        <row r="359">
          <cell r="B359"/>
        </row>
        <row r="360">
          <cell r="B360"/>
        </row>
        <row r="361">
          <cell r="B361"/>
        </row>
        <row r="362">
          <cell r="B362"/>
        </row>
        <row r="363">
          <cell r="B363"/>
        </row>
        <row r="364">
          <cell r="B364"/>
        </row>
        <row r="365">
          <cell r="B365"/>
        </row>
        <row r="366">
          <cell r="B366"/>
        </row>
        <row r="367">
          <cell r="B367"/>
        </row>
        <row r="368">
          <cell r="B368"/>
        </row>
        <row r="369">
          <cell r="B369"/>
        </row>
        <row r="370">
          <cell r="B370"/>
        </row>
        <row r="371">
          <cell r="B371"/>
        </row>
        <row r="372">
          <cell r="B372"/>
        </row>
        <row r="373">
          <cell r="B373"/>
        </row>
        <row r="374">
          <cell r="B374"/>
        </row>
        <row r="375">
          <cell r="B375"/>
        </row>
        <row r="376">
          <cell r="B376"/>
        </row>
        <row r="377">
          <cell r="B377"/>
        </row>
        <row r="378">
          <cell r="B378"/>
        </row>
        <row r="379">
          <cell r="B379"/>
        </row>
        <row r="380">
          <cell r="B380"/>
        </row>
        <row r="381">
          <cell r="B381"/>
        </row>
        <row r="382">
          <cell r="B382"/>
        </row>
        <row r="383">
          <cell r="B383"/>
        </row>
        <row r="384">
          <cell r="B384"/>
        </row>
        <row r="385">
          <cell r="B385"/>
        </row>
        <row r="386">
          <cell r="B386"/>
        </row>
        <row r="387">
          <cell r="B387"/>
        </row>
        <row r="388">
          <cell r="B388"/>
        </row>
        <row r="389">
          <cell r="B389"/>
        </row>
        <row r="390">
          <cell r="B390"/>
        </row>
        <row r="391">
          <cell r="B391"/>
        </row>
        <row r="392">
          <cell r="B392"/>
        </row>
        <row r="393">
          <cell r="B393"/>
        </row>
        <row r="394">
          <cell r="B394"/>
        </row>
        <row r="395">
          <cell r="B395"/>
        </row>
        <row r="396">
          <cell r="B396"/>
        </row>
        <row r="397">
          <cell r="B397"/>
        </row>
        <row r="398">
          <cell r="B398"/>
        </row>
        <row r="399">
          <cell r="B399"/>
        </row>
        <row r="400">
          <cell r="B400"/>
        </row>
        <row r="401">
          <cell r="B401"/>
        </row>
        <row r="402">
          <cell r="B402"/>
        </row>
        <row r="403">
          <cell r="B403"/>
        </row>
        <row r="404">
          <cell r="B404"/>
        </row>
        <row r="405">
          <cell r="B405"/>
        </row>
        <row r="406">
          <cell r="B406"/>
        </row>
        <row r="407">
          <cell r="B407"/>
        </row>
        <row r="408">
          <cell r="B408"/>
        </row>
        <row r="409">
          <cell r="B409"/>
        </row>
        <row r="410">
          <cell r="B410"/>
        </row>
        <row r="411">
          <cell r="B411"/>
        </row>
        <row r="412">
          <cell r="B412"/>
        </row>
        <row r="413">
          <cell r="B413"/>
        </row>
        <row r="414">
          <cell r="B414"/>
        </row>
        <row r="415">
          <cell r="B415"/>
        </row>
        <row r="416">
          <cell r="B416"/>
        </row>
        <row r="417">
          <cell r="B417"/>
        </row>
        <row r="418">
          <cell r="B418"/>
        </row>
        <row r="419">
          <cell r="B419"/>
        </row>
        <row r="420">
          <cell r="B420"/>
        </row>
        <row r="421">
          <cell r="B421"/>
        </row>
        <row r="422">
          <cell r="B422"/>
        </row>
        <row r="423">
          <cell r="B423"/>
        </row>
        <row r="424">
          <cell r="B424"/>
        </row>
        <row r="425">
          <cell r="B425"/>
        </row>
        <row r="426">
          <cell r="B426"/>
        </row>
        <row r="427">
          <cell r="B427"/>
        </row>
        <row r="428">
          <cell r="B428"/>
        </row>
        <row r="429">
          <cell r="B429"/>
        </row>
        <row r="430">
          <cell r="B430"/>
        </row>
        <row r="431">
          <cell r="B431"/>
        </row>
        <row r="432">
          <cell r="B432"/>
        </row>
        <row r="433">
          <cell r="B433"/>
        </row>
        <row r="434">
          <cell r="B434"/>
        </row>
        <row r="435">
          <cell r="B435"/>
        </row>
        <row r="436">
          <cell r="B436"/>
        </row>
        <row r="437">
          <cell r="B437"/>
        </row>
        <row r="438">
          <cell r="B438"/>
        </row>
        <row r="439">
          <cell r="B439"/>
        </row>
        <row r="440">
          <cell r="B440"/>
        </row>
        <row r="441">
          <cell r="B441"/>
        </row>
        <row r="442">
          <cell r="B442"/>
        </row>
        <row r="443">
          <cell r="B443"/>
        </row>
        <row r="444">
          <cell r="B444"/>
        </row>
        <row r="445">
          <cell r="B445"/>
        </row>
        <row r="446">
          <cell r="B446"/>
        </row>
        <row r="447">
          <cell r="B447"/>
        </row>
        <row r="448">
          <cell r="B448"/>
        </row>
        <row r="449">
          <cell r="B449"/>
        </row>
        <row r="450">
          <cell r="B450"/>
        </row>
        <row r="451">
          <cell r="B451"/>
        </row>
        <row r="452">
          <cell r="B452"/>
        </row>
        <row r="453">
          <cell r="B453"/>
        </row>
        <row r="454">
          <cell r="B454"/>
        </row>
        <row r="455">
          <cell r="B455"/>
        </row>
        <row r="456">
          <cell r="B456"/>
        </row>
        <row r="457">
          <cell r="B457"/>
        </row>
        <row r="458">
          <cell r="B458"/>
        </row>
        <row r="459">
          <cell r="B459"/>
        </row>
        <row r="460">
          <cell r="B460"/>
        </row>
        <row r="461">
          <cell r="B461"/>
        </row>
        <row r="462">
          <cell r="B462"/>
        </row>
        <row r="463">
          <cell r="B463"/>
        </row>
        <row r="464">
          <cell r="B464"/>
        </row>
        <row r="465">
          <cell r="B465"/>
        </row>
        <row r="466">
          <cell r="B466"/>
        </row>
        <row r="467">
          <cell r="B467"/>
        </row>
        <row r="468">
          <cell r="B468"/>
        </row>
        <row r="469">
          <cell r="B469"/>
        </row>
        <row r="470">
          <cell r="B470"/>
        </row>
        <row r="471">
          <cell r="B471"/>
        </row>
        <row r="472">
          <cell r="B472"/>
        </row>
        <row r="473">
          <cell r="B473"/>
        </row>
        <row r="474">
          <cell r="B474"/>
        </row>
        <row r="475">
          <cell r="B475"/>
        </row>
        <row r="476">
          <cell r="B476"/>
        </row>
        <row r="477">
          <cell r="B477"/>
        </row>
        <row r="478">
          <cell r="B478"/>
        </row>
        <row r="479">
          <cell r="B479"/>
        </row>
        <row r="480">
          <cell r="B480"/>
        </row>
        <row r="481">
          <cell r="B481"/>
        </row>
        <row r="482">
          <cell r="B482"/>
        </row>
        <row r="483">
          <cell r="B483"/>
        </row>
        <row r="484">
          <cell r="B484"/>
        </row>
        <row r="485">
          <cell r="B485"/>
        </row>
        <row r="486">
          <cell r="B486"/>
        </row>
        <row r="487">
          <cell r="B487"/>
        </row>
        <row r="488">
          <cell r="B488"/>
        </row>
        <row r="489">
          <cell r="B489"/>
        </row>
        <row r="490">
          <cell r="B490"/>
        </row>
        <row r="491">
          <cell r="B491"/>
        </row>
        <row r="492">
          <cell r="B492"/>
        </row>
        <row r="493">
          <cell r="B493"/>
        </row>
        <row r="494">
          <cell r="B494"/>
        </row>
        <row r="495">
          <cell r="B495"/>
        </row>
        <row r="496">
          <cell r="B496"/>
        </row>
        <row r="497">
          <cell r="B497"/>
        </row>
        <row r="498">
          <cell r="B498"/>
        </row>
        <row r="499">
          <cell r="B499"/>
        </row>
        <row r="500">
          <cell r="B500"/>
        </row>
        <row r="501">
          <cell r="B501"/>
        </row>
        <row r="502">
          <cell r="B502"/>
        </row>
        <row r="503">
          <cell r="B503"/>
        </row>
        <row r="504">
          <cell r="B504"/>
        </row>
        <row r="505">
          <cell r="B505"/>
        </row>
        <row r="506">
          <cell r="B506"/>
        </row>
        <row r="507">
          <cell r="B507"/>
        </row>
        <row r="508">
          <cell r="B508"/>
        </row>
        <row r="509">
          <cell r="B509"/>
        </row>
        <row r="510">
          <cell r="B510"/>
        </row>
        <row r="511">
          <cell r="B511"/>
        </row>
      </sheetData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B5FF19-6950-4433-9246-E6690EDB4BDE}" name="Tabela1" displayName="Tabela1" ref="L4:M32" totalsRowShown="0">
  <autoFilter ref="L4:M32" xr:uid="{8653CB8D-EDA9-43C6-9F7D-519642FB6297}"/>
  <tableColumns count="2">
    <tableColumn id="1" xr3:uid="{67833D27-7D46-4044-9A02-68A29031242F}" name="Custo Fixo" dataDxfId="25"/>
    <tableColumn id="2" xr3:uid="{E455164D-9725-447D-934E-75B64B32C602}" name="Valor (R$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CBEDD5-311C-4491-864C-345C2DC97C4E}" name="Tabela2" displayName="Tabela2" ref="A3:K18" totalsRowCount="1" headerRowDxfId="24" dataDxfId="23" tableBorderDxfId="22">
  <tableColumns count="11">
    <tableColumn id="1" xr3:uid="{27DD2C01-2BF8-4A53-BE88-8BFEAD08A266}" name="Produto" dataDxfId="21" totalsRowDxfId="20"/>
    <tableColumn id="2" xr3:uid="{E6B8B182-1B3C-4EC0-908E-4FDA052D95BD}" name="Preço de Venda" totalsRowLabel="TOTAL" dataDxfId="19" totalsRowDxfId="18"/>
    <tableColumn id="3" xr3:uid="{C5BCD6B3-AF96-4E60-89F0-5A5DC1ECD31E}" name="Projeções vendas " totalsRowFunction="custom" dataDxfId="17" totalsRowDxfId="16">
      <totalsRowFormula>SUM(Tabela2[[Projeções vendas ]])</totalsRowFormula>
    </tableColumn>
    <tableColumn id="4" xr3:uid="{714065D8-7958-4690-A769-13A35916529F}" name="Receita bruta mensal" totalsRowFunction="custom" dataDxfId="15" totalsRowDxfId="14">
      <calculatedColumnFormula>IFERROR(IF(A4="","",B4*C4),"")</calculatedColumnFormula>
      <totalsRowFormula>SUM(D4:D17)</totalsRowFormula>
    </tableColumn>
    <tableColumn id="5" xr3:uid="{3F00881C-BBEE-4A35-B8CD-90DE73C3B61E}" name="% de Participação" dataDxfId="13" totalsRowDxfId="12">
      <calculatedColumnFormula>IFERROR(D4/SUM($D$4:$D$18),"")</calculatedColumnFormula>
    </tableColumn>
    <tableColumn id="6" xr3:uid="{5D586ED3-BAE1-4483-8DB2-FC853B3A4DD7}" name="Matéria - Prima" dataDxfId="11" totalsRowDxfId="10"/>
    <tableColumn id="7" xr3:uid="{56C757C9-FE2C-4943-9E33-699C382DE395}" name="Comissões (%)" dataDxfId="9" totalsRowDxfId="8"/>
    <tableColumn id="8" xr3:uid="{1C55E102-8F9D-40ED-A136-5C6EE73963DC}" name="Impostos (%)" dataDxfId="7" totalsRowDxfId="6"/>
    <tableColumn id="9" xr3:uid="{F77D300B-9C28-4BD9-83B3-D1E9070C0C14}" name="Outros gastos" dataDxfId="5" totalsRowDxfId="4"/>
    <tableColumn id="10" xr3:uid="{36046F0C-1EEC-4E87-BAD3-0528A1C45C8F}" name="Total custo por produto" dataDxfId="3" totalsRowDxfId="2">
      <calculatedColumnFormula>F4+B4*(G4+H4)+I4</calculatedColumnFormula>
    </tableColumn>
    <tableColumn id="11" xr3:uid="{477F562F-0B16-442E-9960-8D8D70C48AFA}" name="MG Contribicao" dataDxfId="1" totalsRowDxfId="0">
      <calculatedColumnFormula>B4-J4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db3center.com.b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7AD2C-B202-454C-B33A-8910CFCFA86A}">
  <dimension ref="A1:O22"/>
  <sheetViews>
    <sheetView tabSelected="1" zoomScale="115" zoomScaleNormal="115" workbookViewId="0">
      <selection activeCell="I5" sqref="I5"/>
    </sheetView>
  </sheetViews>
  <sheetFormatPr defaultRowHeight="14.4" x14ac:dyDescent="0.3"/>
  <cols>
    <col min="2" max="2" width="32" customWidth="1"/>
    <col min="3" max="3" width="19.44140625" customWidth="1"/>
    <col min="4" max="4" width="13" hidden="1" customWidth="1"/>
    <col min="14" max="14" width="18.44140625" customWidth="1"/>
  </cols>
  <sheetData>
    <row r="1" spans="1:15" x14ac:dyDescent="0.3">
      <c r="A1" s="168" t="s">
        <v>107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70"/>
    </row>
    <row r="2" spans="1:15" x14ac:dyDescent="0.3">
      <c r="A2" s="171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3"/>
    </row>
    <row r="3" spans="1:15" ht="6" customHeight="1" thickBot="1" x14ac:dyDescent="0.35">
      <c r="A3" s="174"/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6"/>
    </row>
    <row r="4" spans="1:15" ht="30" customHeight="1" thickBot="1" x14ac:dyDescent="0.35">
      <c r="A4" s="100"/>
      <c r="B4" s="106" t="s">
        <v>94</v>
      </c>
      <c r="C4" s="107" t="s">
        <v>6</v>
      </c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2"/>
    </row>
    <row r="5" spans="1:15" ht="19.2" customHeight="1" thickBot="1" x14ac:dyDescent="0.35">
      <c r="A5" s="100"/>
      <c r="B5" s="93" t="s">
        <v>1</v>
      </c>
      <c r="C5" s="96">
        <v>50000</v>
      </c>
      <c r="D5" s="9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2"/>
    </row>
    <row r="6" spans="1:15" ht="19.2" customHeight="1" x14ac:dyDescent="0.3">
      <c r="A6" s="100"/>
      <c r="B6" s="94" t="s">
        <v>90</v>
      </c>
      <c r="C6" s="97">
        <v>50000</v>
      </c>
      <c r="D6" s="91"/>
      <c r="E6" s="101"/>
      <c r="F6" s="117" t="s">
        <v>95</v>
      </c>
      <c r="G6" s="108"/>
      <c r="H6" s="108"/>
      <c r="I6" s="108"/>
      <c r="J6" s="108"/>
      <c r="K6" s="108"/>
      <c r="L6" s="108"/>
      <c r="M6" s="108"/>
      <c r="N6" s="109"/>
      <c r="O6" s="102"/>
    </row>
    <row r="7" spans="1:15" ht="19.2" customHeight="1" x14ac:dyDescent="0.3">
      <c r="A7" s="100"/>
      <c r="B7" s="94" t="s">
        <v>3</v>
      </c>
      <c r="C7" s="97"/>
      <c r="D7" s="89">
        <f>C5+C6</f>
        <v>100000</v>
      </c>
      <c r="E7" s="101"/>
      <c r="F7" s="118" t="s">
        <v>96</v>
      </c>
      <c r="G7" s="110"/>
      <c r="H7" s="110"/>
      <c r="I7" s="110"/>
      <c r="J7" s="110"/>
      <c r="K7" s="110"/>
      <c r="L7" s="110"/>
      <c r="M7" s="110"/>
      <c r="N7" s="111"/>
      <c r="O7" s="102"/>
    </row>
    <row r="8" spans="1:15" ht="19.2" customHeight="1" thickBot="1" x14ac:dyDescent="0.35">
      <c r="A8" s="100"/>
      <c r="B8" s="94" t="s">
        <v>8</v>
      </c>
      <c r="C8" s="97">
        <v>30000</v>
      </c>
      <c r="D8" s="91"/>
      <c r="E8" s="101"/>
      <c r="F8" s="120" t="s">
        <v>100</v>
      </c>
      <c r="G8" s="119"/>
      <c r="H8" s="112"/>
      <c r="I8" s="112"/>
      <c r="J8" s="112"/>
      <c r="K8" s="112"/>
      <c r="L8" s="112"/>
      <c r="M8" s="112"/>
      <c r="N8" s="113"/>
      <c r="O8" s="102"/>
    </row>
    <row r="9" spans="1:15" ht="19.2" customHeight="1" x14ac:dyDescent="0.3">
      <c r="A9" s="100"/>
      <c r="B9" s="94" t="s">
        <v>4</v>
      </c>
      <c r="C9" s="97">
        <v>20000</v>
      </c>
      <c r="D9" s="9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2"/>
    </row>
    <row r="10" spans="1:15" ht="19.2" customHeight="1" x14ac:dyDescent="0.3">
      <c r="A10" s="100"/>
      <c r="B10" s="94" t="s">
        <v>9</v>
      </c>
      <c r="C10" s="97">
        <v>50000</v>
      </c>
      <c r="D10" s="99">
        <f>C8+C9</f>
        <v>50000</v>
      </c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2"/>
    </row>
    <row r="11" spans="1:15" ht="19.2" customHeight="1" x14ac:dyDescent="0.4">
      <c r="A11" s="100"/>
      <c r="B11" s="94" t="s">
        <v>12</v>
      </c>
      <c r="C11" s="97">
        <v>50000</v>
      </c>
      <c r="D11" s="91"/>
      <c r="E11" s="101"/>
      <c r="F11" s="101"/>
      <c r="G11" s="101"/>
      <c r="H11" s="101"/>
      <c r="I11" s="101"/>
      <c r="J11" s="101"/>
      <c r="K11" s="123" t="s">
        <v>105</v>
      </c>
      <c r="L11" s="101"/>
      <c r="M11" s="101"/>
      <c r="N11" s="101"/>
      <c r="O11" s="102"/>
    </row>
    <row r="12" spans="1:15" ht="19.2" customHeight="1" x14ac:dyDescent="0.3">
      <c r="A12" s="100"/>
      <c r="B12" s="94" t="s">
        <v>34</v>
      </c>
      <c r="C12" s="97">
        <v>100000</v>
      </c>
      <c r="D12" s="91"/>
      <c r="E12" s="101"/>
      <c r="F12" s="101"/>
      <c r="G12" s="101"/>
      <c r="H12" s="101"/>
      <c r="I12" s="101"/>
      <c r="J12" s="101"/>
      <c r="K12" s="122" t="s">
        <v>104</v>
      </c>
      <c r="L12" s="101"/>
      <c r="M12" s="101"/>
      <c r="N12" s="101"/>
      <c r="O12" s="102"/>
    </row>
    <row r="13" spans="1:15" ht="19.2" customHeight="1" x14ac:dyDescent="0.3">
      <c r="A13" s="100"/>
      <c r="B13" s="94" t="s">
        <v>91</v>
      </c>
      <c r="C13" s="97">
        <v>30000</v>
      </c>
      <c r="D13" s="91"/>
      <c r="E13" s="101"/>
      <c r="F13" s="101"/>
      <c r="G13" s="101"/>
      <c r="H13" s="101"/>
      <c r="I13" s="101"/>
      <c r="J13" s="101"/>
      <c r="K13" s="122" t="s">
        <v>98</v>
      </c>
      <c r="L13" s="101"/>
      <c r="M13" s="101"/>
      <c r="N13" s="101"/>
      <c r="O13" s="102"/>
    </row>
    <row r="14" spans="1:15" ht="19.2" customHeight="1" x14ac:dyDescent="0.3">
      <c r="A14" s="100"/>
      <c r="B14" s="94" t="s">
        <v>20</v>
      </c>
      <c r="C14" s="97">
        <v>50000</v>
      </c>
      <c r="D14" s="91"/>
      <c r="E14" s="101"/>
      <c r="F14" s="101"/>
      <c r="G14" s="101"/>
      <c r="H14" s="101"/>
      <c r="I14" s="101"/>
      <c r="J14" s="101"/>
      <c r="K14" s="122" t="s">
        <v>101</v>
      </c>
      <c r="L14" s="101"/>
      <c r="M14" s="101"/>
      <c r="N14" s="101"/>
      <c r="O14" s="102"/>
    </row>
    <row r="15" spans="1:15" ht="19.2" customHeight="1" x14ac:dyDescent="0.3">
      <c r="A15" s="100"/>
      <c r="B15" s="94" t="s">
        <v>92</v>
      </c>
      <c r="C15" s="97">
        <v>30000</v>
      </c>
      <c r="D15" s="91"/>
      <c r="E15" s="101"/>
      <c r="F15" s="101"/>
      <c r="G15" s="101"/>
      <c r="H15" s="101"/>
      <c r="I15" s="101"/>
      <c r="J15" s="101"/>
      <c r="K15" s="122" t="s">
        <v>103</v>
      </c>
      <c r="L15" s="101"/>
      <c r="M15" s="101"/>
      <c r="N15" s="101"/>
      <c r="O15" s="102"/>
    </row>
    <row r="16" spans="1:15" ht="19.2" customHeight="1" x14ac:dyDescent="0.3">
      <c r="A16" s="100"/>
      <c r="B16" s="94" t="s">
        <v>25</v>
      </c>
      <c r="C16" s="97">
        <v>10000</v>
      </c>
      <c r="D16" s="91"/>
      <c r="E16" s="101"/>
      <c r="F16" s="101"/>
      <c r="G16" s="101"/>
      <c r="H16" s="101"/>
      <c r="I16" s="101"/>
      <c r="J16" s="101"/>
      <c r="K16" s="122" t="s">
        <v>102</v>
      </c>
      <c r="L16" s="101"/>
      <c r="M16" s="101"/>
      <c r="N16" s="101"/>
      <c r="O16" s="102"/>
    </row>
    <row r="17" spans="1:15" ht="19.2" customHeight="1" x14ac:dyDescent="0.3">
      <c r="A17" s="100"/>
      <c r="B17" s="94" t="s">
        <v>37</v>
      </c>
      <c r="C17" s="97">
        <v>50000</v>
      </c>
      <c r="D17" s="91"/>
      <c r="E17" s="101"/>
      <c r="F17" s="101"/>
      <c r="G17" s="101"/>
      <c r="H17" s="101"/>
      <c r="I17" s="101"/>
      <c r="J17" s="101"/>
      <c r="K17" s="121" t="s">
        <v>99</v>
      </c>
      <c r="L17" s="101"/>
      <c r="M17" s="101"/>
      <c r="N17" s="101"/>
      <c r="O17" s="102"/>
    </row>
    <row r="18" spans="1:15" ht="19.2" customHeight="1" x14ac:dyDescent="0.3">
      <c r="A18" s="100"/>
      <c r="B18" s="94" t="s">
        <v>36</v>
      </c>
      <c r="C18" s="97">
        <v>10000</v>
      </c>
      <c r="D18" s="91"/>
      <c r="E18" s="101"/>
      <c r="F18" s="101"/>
      <c r="G18" s="101"/>
      <c r="H18" s="101"/>
      <c r="I18" s="101"/>
      <c r="J18" s="101"/>
      <c r="K18" s="121"/>
      <c r="L18" s="101"/>
      <c r="M18" s="101"/>
      <c r="N18" s="101"/>
      <c r="O18" s="102"/>
    </row>
    <row r="19" spans="1:15" ht="19.2" customHeight="1" x14ac:dyDescent="0.3">
      <c r="A19" s="100"/>
      <c r="B19" s="94" t="s">
        <v>39</v>
      </c>
      <c r="C19" s="97">
        <v>5000</v>
      </c>
      <c r="D19" s="9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2"/>
    </row>
    <row r="20" spans="1:15" ht="19.2" customHeight="1" thickBot="1" x14ac:dyDescent="0.35">
      <c r="A20" s="100"/>
      <c r="B20" s="95" t="s">
        <v>93</v>
      </c>
      <c r="C20" s="98">
        <v>100000</v>
      </c>
      <c r="D20" s="92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2"/>
    </row>
    <row r="21" spans="1:15" x14ac:dyDescent="0.3">
      <c r="A21" s="100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2"/>
    </row>
    <row r="22" spans="1:15" ht="15" thickBot="1" x14ac:dyDescent="0.35">
      <c r="A22" s="103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5"/>
    </row>
  </sheetData>
  <mergeCells count="1">
    <mergeCell ref="A1:O3"/>
  </mergeCells>
  <hyperlinks>
    <hyperlink ref="K17" r:id="rId1" xr:uid="{A42109BF-7ADA-40B3-A56F-AEE9D7183B8C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57595-E0DF-4D25-875D-11E1DBDC67BC}">
  <dimension ref="A1:H52"/>
  <sheetViews>
    <sheetView zoomScaleNormal="100" workbookViewId="0">
      <selection activeCell="H25" sqref="H25"/>
    </sheetView>
  </sheetViews>
  <sheetFormatPr defaultRowHeight="14.4" x14ac:dyDescent="0.3"/>
  <cols>
    <col min="2" max="2" width="28.6640625" style="80" customWidth="1"/>
    <col min="3" max="3" width="2" bestFit="1" customWidth="1"/>
    <col min="4" max="4" width="33.6640625" style="80" customWidth="1"/>
    <col min="5" max="5" width="0.88671875" hidden="1" customWidth="1"/>
    <col min="6" max="6" width="11" style="67" customWidth="1"/>
    <col min="7" max="7" width="34.21875" style="72" customWidth="1"/>
    <col min="8" max="8" width="54" customWidth="1"/>
  </cols>
  <sheetData>
    <row r="1" spans="1:8" ht="57" customHeight="1" x14ac:dyDescent="0.3">
      <c r="A1" s="124" t="s">
        <v>80</v>
      </c>
      <c r="B1" s="124"/>
      <c r="C1" s="124"/>
      <c r="D1" s="124"/>
      <c r="E1" s="124"/>
      <c r="F1" s="124"/>
      <c r="G1" s="124"/>
      <c r="H1" s="124"/>
    </row>
    <row r="2" spans="1:8" ht="1.2" customHeight="1" x14ac:dyDescent="0.3">
      <c r="A2" s="2"/>
      <c r="B2" s="62"/>
      <c r="C2" s="2"/>
      <c r="D2" s="81"/>
      <c r="F2" s="65"/>
      <c r="G2" s="68"/>
      <c r="H2" s="1"/>
    </row>
    <row r="3" spans="1:8" ht="25.8" customHeight="1" thickBot="1" x14ac:dyDescent="0.35">
      <c r="A3" s="125"/>
      <c r="B3" s="78"/>
      <c r="C3" s="79"/>
      <c r="D3" s="82"/>
      <c r="E3" s="64" t="e">
        <f>B4+D4</f>
        <v>#VALUE!</v>
      </c>
      <c r="F3" s="5" t="s">
        <v>16</v>
      </c>
      <c r="G3" s="68" t="s">
        <v>17</v>
      </c>
      <c r="H3" s="73" t="s">
        <v>18</v>
      </c>
    </row>
    <row r="4" spans="1:8" ht="15" thickBot="1" x14ac:dyDescent="0.35">
      <c r="A4" s="125"/>
      <c r="B4" s="86" t="s">
        <v>9</v>
      </c>
      <c r="C4" s="3" t="s">
        <v>7</v>
      </c>
      <c r="D4" s="83">
        <f>D13</f>
        <v>50000</v>
      </c>
      <c r="E4" s="2" t="s">
        <v>5</v>
      </c>
      <c r="F4" s="66">
        <f>(D4/D5)*100</f>
        <v>62.5</v>
      </c>
      <c r="G4" s="69" t="s">
        <v>15</v>
      </c>
      <c r="H4" s="128" t="s">
        <v>31</v>
      </c>
    </row>
    <row r="5" spans="1:8" ht="18" thickBot="1" x14ac:dyDescent="0.35">
      <c r="A5" s="125"/>
      <c r="B5" s="60" t="s">
        <v>0</v>
      </c>
      <c r="C5" s="4" t="s">
        <v>7</v>
      </c>
      <c r="D5" s="84">
        <v>80000</v>
      </c>
      <c r="E5" s="2">
        <f>D5</f>
        <v>80000</v>
      </c>
      <c r="F5" s="6"/>
      <c r="G5" s="70"/>
      <c r="H5" s="129"/>
    </row>
    <row r="6" spans="1:8" x14ac:dyDescent="0.3">
      <c r="A6" s="125"/>
      <c r="B6" s="62"/>
      <c r="C6" s="2"/>
      <c r="D6" s="85"/>
      <c r="E6" s="2"/>
      <c r="F6" s="65"/>
      <c r="G6" s="68"/>
      <c r="H6" s="1"/>
    </row>
    <row r="7" spans="1:8" ht="15" thickBot="1" x14ac:dyDescent="0.35">
      <c r="A7" s="125"/>
      <c r="B7" s="62"/>
      <c r="C7" s="2"/>
      <c r="D7" s="85"/>
      <c r="E7" s="2"/>
      <c r="F7" s="65"/>
      <c r="G7" s="68"/>
      <c r="H7" s="1"/>
    </row>
    <row r="8" spans="1:8" ht="14.4" customHeight="1" thickBot="1" x14ac:dyDescent="0.35">
      <c r="A8" s="125"/>
      <c r="B8" s="86" t="s">
        <v>1</v>
      </c>
      <c r="C8" s="3" t="s">
        <v>7</v>
      </c>
      <c r="D8" s="83">
        <f>INFORMAÇOES!C5</f>
        <v>50000</v>
      </c>
      <c r="E8" s="2" t="s">
        <v>5</v>
      </c>
      <c r="F8" s="65"/>
      <c r="G8" s="68"/>
      <c r="H8" s="1"/>
    </row>
    <row r="9" spans="1:8" ht="15" thickBot="1" x14ac:dyDescent="0.35">
      <c r="A9" s="125"/>
      <c r="B9" s="60" t="s">
        <v>2</v>
      </c>
      <c r="C9" s="4" t="s">
        <v>7</v>
      </c>
      <c r="D9" s="84">
        <f>INFORMAÇOES!C8</f>
        <v>30000</v>
      </c>
      <c r="E9" s="2"/>
      <c r="F9" s="66">
        <f>D8/D9</f>
        <v>1.6666666666666667</v>
      </c>
      <c r="G9" s="114" t="s">
        <v>11</v>
      </c>
      <c r="H9" s="115" t="s">
        <v>23</v>
      </c>
    </row>
    <row r="10" spans="1:8" ht="15" thickBot="1" x14ac:dyDescent="0.35">
      <c r="A10" s="125"/>
      <c r="B10" s="62"/>
      <c r="C10" s="2"/>
      <c r="D10" s="87"/>
      <c r="E10" s="2"/>
      <c r="F10" s="65"/>
      <c r="G10" s="68"/>
      <c r="H10" s="116" t="s">
        <v>97</v>
      </c>
    </row>
    <row r="11" spans="1:8" ht="15" thickBot="1" x14ac:dyDescent="0.35">
      <c r="A11" s="125"/>
      <c r="B11" s="62"/>
      <c r="C11" s="2"/>
      <c r="D11" s="88"/>
      <c r="E11" s="2"/>
      <c r="F11" s="65"/>
      <c r="G11" s="68"/>
      <c r="H11" s="1"/>
    </row>
    <row r="12" spans="1:8" ht="15" thickBot="1" x14ac:dyDescent="0.35">
      <c r="A12" s="125"/>
      <c r="B12" s="86" t="s">
        <v>3</v>
      </c>
      <c r="C12" s="3" t="s">
        <v>7</v>
      </c>
      <c r="D12" s="83">
        <f>IF(INFORMAÇOES!C7&lt;&gt;"",INFORMAÇOES!C7,INFORMAÇOES!D7)</f>
        <v>100000</v>
      </c>
      <c r="E12" s="2" t="s">
        <v>5</v>
      </c>
      <c r="F12" s="65"/>
      <c r="G12" s="68"/>
      <c r="H12" s="1"/>
    </row>
    <row r="13" spans="1:8" ht="15" thickBot="1" x14ac:dyDescent="0.35">
      <c r="A13" s="125"/>
      <c r="B13" s="63" t="s">
        <v>9</v>
      </c>
      <c r="C13" s="4" t="s">
        <v>7</v>
      </c>
      <c r="D13" s="84">
        <f>IF(INFORMAÇOES!C10&lt;&gt;"",INFORMAÇOES!C10,INFORMAÇOES!D10)</f>
        <v>50000</v>
      </c>
      <c r="E13" s="2"/>
      <c r="F13" s="66">
        <f>D12/D13</f>
        <v>2</v>
      </c>
      <c r="G13" s="114" t="s">
        <v>10</v>
      </c>
      <c r="H13" s="115" t="s">
        <v>21</v>
      </c>
    </row>
    <row r="14" spans="1:8" ht="15" thickBot="1" x14ac:dyDescent="0.35">
      <c r="A14" s="125"/>
      <c r="B14" s="62"/>
      <c r="C14" s="2"/>
      <c r="D14" s="88"/>
      <c r="E14" s="2"/>
      <c r="F14" s="65"/>
      <c r="G14" s="68"/>
      <c r="H14" s="116" t="s">
        <v>22</v>
      </c>
    </row>
    <row r="15" spans="1:8" ht="15" thickBot="1" x14ac:dyDescent="0.35">
      <c r="A15" s="125"/>
      <c r="B15" s="86" t="s">
        <v>9</v>
      </c>
      <c r="C15" s="3" t="s">
        <v>7</v>
      </c>
      <c r="D15" s="83">
        <f>D13</f>
        <v>50000</v>
      </c>
      <c r="E15" s="2" t="s">
        <v>5</v>
      </c>
      <c r="F15" s="65"/>
      <c r="G15" s="68"/>
      <c r="H15" s="1"/>
    </row>
    <row r="16" spans="1:8" ht="15" thickBot="1" x14ac:dyDescent="0.35">
      <c r="A16" s="125"/>
      <c r="B16" s="63" t="s">
        <v>12</v>
      </c>
      <c r="C16" s="4" t="s">
        <v>7</v>
      </c>
      <c r="D16" s="84">
        <f>INFORMAÇOES!C11</f>
        <v>50000</v>
      </c>
      <c r="E16" s="2"/>
      <c r="F16" s="66">
        <f>(D15/D16)*100</f>
        <v>100</v>
      </c>
      <c r="G16" s="126" t="s">
        <v>13</v>
      </c>
      <c r="H16" s="128" t="s">
        <v>32</v>
      </c>
    </row>
    <row r="17" spans="1:8" ht="14.4" customHeight="1" thickBot="1" x14ac:dyDescent="0.35">
      <c r="A17" s="125"/>
      <c r="B17" s="62"/>
      <c r="C17" s="2"/>
      <c r="D17" s="87"/>
      <c r="E17" s="2"/>
      <c r="F17" s="65"/>
      <c r="G17" s="127"/>
      <c r="H17" s="129"/>
    </row>
    <row r="18" spans="1:8" ht="15" thickBot="1" x14ac:dyDescent="0.35">
      <c r="A18" s="125"/>
      <c r="B18" s="62"/>
      <c r="C18" s="2"/>
      <c r="D18" s="87"/>
      <c r="E18" s="2"/>
      <c r="F18" s="65"/>
      <c r="G18" s="68"/>
      <c r="H18" s="1"/>
    </row>
    <row r="19" spans="1:8" ht="15" thickBot="1" x14ac:dyDescent="0.35">
      <c r="A19" s="125"/>
      <c r="B19" s="86" t="s">
        <v>8</v>
      </c>
      <c r="C19" s="3" t="s">
        <v>7</v>
      </c>
      <c r="D19" s="83">
        <f>D9</f>
        <v>30000</v>
      </c>
      <c r="E19" s="2" t="s">
        <v>5</v>
      </c>
      <c r="F19" s="65"/>
      <c r="G19" s="68"/>
      <c r="H19" s="1"/>
    </row>
    <row r="20" spans="1:8" ht="15" thickBot="1" x14ac:dyDescent="0.35">
      <c r="A20" s="125"/>
      <c r="B20" s="63" t="s">
        <v>9</v>
      </c>
      <c r="C20" s="4" t="s">
        <v>7</v>
      </c>
      <c r="D20" s="84">
        <f>D13</f>
        <v>50000</v>
      </c>
      <c r="E20" s="2"/>
      <c r="F20" s="66">
        <f>(D19/D20)*100</f>
        <v>60</v>
      </c>
      <c r="G20" s="126" t="s">
        <v>14</v>
      </c>
      <c r="H20" s="128" t="s">
        <v>33</v>
      </c>
    </row>
    <row r="21" spans="1:8" ht="15" thickBot="1" x14ac:dyDescent="0.35">
      <c r="A21" s="125"/>
      <c r="B21" s="62"/>
      <c r="C21" s="2"/>
      <c r="D21" s="87"/>
      <c r="E21" s="2"/>
      <c r="F21" s="65"/>
      <c r="G21" s="127"/>
      <c r="H21" s="129"/>
    </row>
    <row r="22" spans="1:8" ht="15" thickBot="1" x14ac:dyDescent="0.35">
      <c r="A22" s="125"/>
      <c r="B22" s="86" t="s">
        <v>34</v>
      </c>
      <c r="C22" s="3" t="s">
        <v>7</v>
      </c>
      <c r="D22" s="83">
        <f>INFORMAÇOES!C12</f>
        <v>100000</v>
      </c>
      <c r="E22" s="2" t="s">
        <v>5</v>
      </c>
      <c r="F22" s="61"/>
      <c r="G22" s="71"/>
      <c r="H22" s="2"/>
    </row>
    <row r="23" spans="1:8" ht="24.6" thickBot="1" x14ac:dyDescent="0.35">
      <c r="A23" s="125"/>
      <c r="B23" s="60" t="s">
        <v>19</v>
      </c>
      <c r="C23" s="4" t="s">
        <v>7</v>
      </c>
      <c r="D23" s="84">
        <f>(INFORMAÇOES!C14+INFORMAÇOES!C9)</f>
        <v>70000</v>
      </c>
      <c r="E23" s="2"/>
      <c r="F23" s="66">
        <f>D22/D23</f>
        <v>1.4285714285714286</v>
      </c>
      <c r="G23" s="69" t="s">
        <v>106</v>
      </c>
      <c r="H23" s="69" t="s">
        <v>77</v>
      </c>
    </row>
    <row r="24" spans="1:8" x14ac:dyDescent="0.3">
      <c r="A24" s="125"/>
      <c r="B24" s="76"/>
      <c r="C24" s="76"/>
      <c r="D24" s="77"/>
      <c r="E24" s="2"/>
      <c r="F24" s="61"/>
      <c r="G24" s="74"/>
      <c r="H24" s="75"/>
    </row>
    <row r="25" spans="1:8" ht="15" thickBot="1" x14ac:dyDescent="0.35">
      <c r="A25" s="125"/>
      <c r="B25" s="76"/>
      <c r="C25" s="76"/>
      <c r="D25" s="77"/>
      <c r="E25" s="2"/>
      <c r="F25" s="61"/>
      <c r="G25" s="74"/>
      <c r="H25" s="75"/>
    </row>
    <row r="26" spans="1:8" ht="15" thickBot="1" x14ac:dyDescent="0.35">
      <c r="A26" s="125"/>
      <c r="B26" s="86" t="s">
        <v>20</v>
      </c>
      <c r="C26" s="3" t="s">
        <v>7</v>
      </c>
      <c r="D26" s="83">
        <f>INFORMAÇOES!C14</f>
        <v>50000</v>
      </c>
      <c r="E26" s="2" t="s">
        <v>5</v>
      </c>
      <c r="F26" s="61"/>
      <c r="G26" s="74"/>
      <c r="H26" s="75"/>
    </row>
    <row r="27" spans="1:8" ht="15" thickBot="1" x14ac:dyDescent="0.35">
      <c r="A27" s="125"/>
      <c r="B27" s="60" t="s">
        <v>12</v>
      </c>
      <c r="C27" s="4" t="s">
        <v>7</v>
      </c>
      <c r="D27" s="84">
        <f>D16</f>
        <v>50000</v>
      </c>
      <c r="E27" s="2"/>
      <c r="F27" s="66">
        <f>D26/D27</f>
        <v>1</v>
      </c>
      <c r="G27" s="69" t="s">
        <v>81</v>
      </c>
      <c r="H27" s="69" t="s">
        <v>78</v>
      </c>
    </row>
    <row r="28" spans="1:8" ht="15" thickBot="1" x14ac:dyDescent="0.35">
      <c r="A28" s="125"/>
      <c r="B28" s="76"/>
      <c r="C28" s="76"/>
      <c r="D28" s="77"/>
      <c r="E28" s="2"/>
      <c r="F28" s="61"/>
      <c r="G28" s="74"/>
      <c r="H28" s="75"/>
    </row>
    <row r="29" spans="1:8" ht="15" thickBot="1" x14ac:dyDescent="0.35">
      <c r="A29" s="125"/>
      <c r="B29" s="86" t="s">
        <v>20</v>
      </c>
      <c r="C29" s="3" t="s">
        <v>7</v>
      </c>
      <c r="D29" s="83">
        <f>D26</f>
        <v>50000</v>
      </c>
      <c r="E29" s="2" t="s">
        <v>5</v>
      </c>
      <c r="F29" s="61"/>
      <c r="G29" s="74"/>
      <c r="H29" s="75"/>
    </row>
    <row r="30" spans="1:8" ht="24.6" thickBot="1" x14ac:dyDescent="0.35">
      <c r="A30" s="125"/>
      <c r="B30" s="60" t="s">
        <v>3</v>
      </c>
      <c r="C30" s="4" t="s">
        <v>7</v>
      </c>
      <c r="D30" s="84">
        <f>D12</f>
        <v>100000</v>
      </c>
      <c r="E30" s="2"/>
      <c r="F30" s="66">
        <f>(D29/D30)*100</f>
        <v>50</v>
      </c>
      <c r="G30" s="69" t="s">
        <v>82</v>
      </c>
      <c r="H30" s="69" t="s">
        <v>79</v>
      </c>
    </row>
    <row r="31" spans="1:8" ht="15" thickBot="1" x14ac:dyDescent="0.35">
      <c r="A31" s="125"/>
      <c r="B31" s="76"/>
      <c r="C31" s="76"/>
      <c r="D31" s="77"/>
      <c r="E31" s="2"/>
      <c r="F31" s="61"/>
      <c r="G31" s="74"/>
      <c r="H31" s="75"/>
    </row>
    <row r="32" spans="1:8" ht="15" thickBot="1" x14ac:dyDescent="0.35">
      <c r="A32" s="125"/>
      <c r="B32" s="86" t="s">
        <v>24</v>
      </c>
      <c r="C32" s="3" t="s">
        <v>7</v>
      </c>
      <c r="D32" s="83">
        <f>INFORMAÇOES!C15</f>
        <v>30000</v>
      </c>
      <c r="E32" s="2" t="s">
        <v>5</v>
      </c>
      <c r="F32" s="61"/>
      <c r="G32" s="74"/>
      <c r="H32" s="75"/>
    </row>
    <row r="33" spans="1:8" ht="24.6" thickBot="1" x14ac:dyDescent="0.35">
      <c r="A33" s="125"/>
      <c r="B33" s="60" t="s">
        <v>25</v>
      </c>
      <c r="C33" s="4" t="s">
        <v>7</v>
      </c>
      <c r="D33" s="84">
        <f>INFORMAÇOES!C16</f>
        <v>10000</v>
      </c>
      <c r="E33" s="2"/>
      <c r="F33" s="66">
        <f>(D32*360)/D33</f>
        <v>1080</v>
      </c>
      <c r="G33" s="69" t="s">
        <v>83</v>
      </c>
      <c r="H33" s="69" t="s">
        <v>27</v>
      </c>
    </row>
    <row r="34" spans="1:8" ht="15" thickBot="1" x14ac:dyDescent="0.35">
      <c r="A34" s="125"/>
      <c r="B34" s="76"/>
      <c r="C34" s="76"/>
      <c r="D34" s="77"/>
      <c r="E34" s="2"/>
      <c r="F34" s="61"/>
      <c r="G34" s="74"/>
      <c r="H34" s="75"/>
    </row>
    <row r="35" spans="1:8" ht="15" thickBot="1" x14ac:dyDescent="0.35">
      <c r="A35" s="125"/>
      <c r="B35" s="86" t="s">
        <v>26</v>
      </c>
      <c r="C35" s="3" t="s">
        <v>7</v>
      </c>
      <c r="D35" s="83">
        <f>INFORMAÇOES!C17</f>
        <v>50000</v>
      </c>
      <c r="E35" s="2" t="s">
        <v>5</v>
      </c>
      <c r="F35" s="61"/>
      <c r="G35" s="74"/>
      <c r="H35" s="75"/>
    </row>
    <row r="36" spans="1:8" ht="24.6" thickBot="1" x14ac:dyDescent="0.35">
      <c r="A36" s="125"/>
      <c r="B36" s="60" t="s">
        <v>34</v>
      </c>
      <c r="C36" s="4" t="s">
        <v>7</v>
      </c>
      <c r="D36" s="84">
        <f>D22</f>
        <v>100000</v>
      </c>
      <c r="E36" s="2"/>
      <c r="F36" s="66">
        <f>(D35/D36)*360</f>
        <v>180</v>
      </c>
      <c r="G36" s="69" t="s">
        <v>84</v>
      </c>
      <c r="H36" s="69" t="s">
        <v>28</v>
      </c>
    </row>
    <row r="37" spans="1:8" x14ac:dyDescent="0.3">
      <c r="A37" s="125"/>
      <c r="B37" s="76"/>
      <c r="C37" s="76"/>
      <c r="D37" s="77"/>
      <c r="E37" s="2"/>
      <c r="F37" s="61"/>
      <c r="G37" s="74"/>
      <c r="H37" s="75"/>
    </row>
    <row r="38" spans="1:8" ht="15" thickBot="1" x14ac:dyDescent="0.35">
      <c r="A38" s="125"/>
      <c r="B38" s="76"/>
      <c r="C38" s="76"/>
      <c r="D38" s="77"/>
      <c r="E38" s="2"/>
      <c r="F38" s="61"/>
      <c r="G38" s="74"/>
      <c r="H38" s="75"/>
    </row>
    <row r="39" spans="1:8" ht="15" thickBot="1" x14ac:dyDescent="0.35">
      <c r="A39" s="125"/>
      <c r="B39" s="86" t="s">
        <v>29</v>
      </c>
      <c r="C39" s="3" t="s">
        <v>7</v>
      </c>
      <c r="D39" s="83">
        <f>INFORMAÇOES!C20</f>
        <v>100000</v>
      </c>
      <c r="E39" s="2" t="s">
        <v>5</v>
      </c>
      <c r="F39" s="61"/>
      <c r="G39" s="74"/>
      <c r="H39" s="75"/>
    </row>
    <row r="40" spans="1:8" ht="24.6" thickBot="1" x14ac:dyDescent="0.35">
      <c r="A40" s="125"/>
      <c r="B40" s="60" t="s">
        <v>25</v>
      </c>
      <c r="C40" s="4" t="s">
        <v>7</v>
      </c>
      <c r="D40" s="84">
        <f>INFORMAÇOES!C16</f>
        <v>10000</v>
      </c>
      <c r="E40" s="2"/>
      <c r="F40" s="66">
        <f>(D39/D40)*360</f>
        <v>3600</v>
      </c>
      <c r="G40" s="69" t="s">
        <v>85</v>
      </c>
      <c r="H40" s="69" t="s">
        <v>30</v>
      </c>
    </row>
    <row r="41" spans="1:8" ht="15" thickBot="1" x14ac:dyDescent="0.35">
      <c r="A41" s="125"/>
      <c r="B41" s="76"/>
      <c r="C41" s="76"/>
      <c r="D41" s="77"/>
      <c r="E41" s="2"/>
      <c r="F41" s="61"/>
      <c r="G41" s="74"/>
      <c r="H41" s="75"/>
    </row>
    <row r="42" spans="1:8" ht="15" thickBot="1" x14ac:dyDescent="0.35">
      <c r="A42" s="125"/>
      <c r="B42" s="86" t="s">
        <v>20</v>
      </c>
      <c r="C42" s="3" t="s">
        <v>7</v>
      </c>
      <c r="D42" s="83">
        <f>D26</f>
        <v>50000</v>
      </c>
      <c r="E42" s="2" t="s">
        <v>5</v>
      </c>
      <c r="F42" s="61"/>
      <c r="G42" s="74"/>
      <c r="H42" s="75"/>
    </row>
    <row r="43" spans="1:8" ht="15" thickBot="1" x14ac:dyDescent="0.35">
      <c r="A43" s="125"/>
      <c r="B43" s="60" t="s">
        <v>34</v>
      </c>
      <c r="C43" s="4" t="s">
        <v>7</v>
      </c>
      <c r="D43" s="84">
        <f>D36</f>
        <v>100000</v>
      </c>
      <c r="E43" s="2"/>
      <c r="F43" s="66">
        <f>(D42/D43)*100</f>
        <v>50</v>
      </c>
      <c r="G43" s="69" t="s">
        <v>86</v>
      </c>
      <c r="H43" s="69" t="s">
        <v>35</v>
      </c>
    </row>
    <row r="44" spans="1:8" ht="15" thickBot="1" x14ac:dyDescent="0.35">
      <c r="A44" s="125"/>
      <c r="B44" s="76"/>
      <c r="C44" s="76"/>
      <c r="D44" s="77"/>
      <c r="E44" s="2"/>
      <c r="F44" s="61"/>
      <c r="G44" s="74"/>
      <c r="H44" s="75"/>
    </row>
    <row r="45" spans="1:8" ht="15" thickBot="1" x14ac:dyDescent="0.35">
      <c r="A45" s="125"/>
      <c r="B45" s="86" t="s">
        <v>36</v>
      </c>
      <c r="C45" s="3" t="s">
        <v>7</v>
      </c>
      <c r="D45" s="83">
        <f>INFORMAÇOES!C18</f>
        <v>10000</v>
      </c>
      <c r="E45" s="2" t="s">
        <v>5</v>
      </c>
      <c r="F45" s="61"/>
      <c r="G45" s="74"/>
      <c r="H45" s="75"/>
    </row>
    <row r="46" spans="1:8" ht="24.6" thickBot="1" x14ac:dyDescent="0.35">
      <c r="A46" s="125"/>
      <c r="B46" s="60" t="s">
        <v>37</v>
      </c>
      <c r="C46" s="4" t="s">
        <v>7</v>
      </c>
      <c r="D46" s="84">
        <f>INFORMAÇOES!C17</f>
        <v>50000</v>
      </c>
      <c r="E46" s="2"/>
      <c r="F46" s="66">
        <f>(D45/D46)*100</f>
        <v>20</v>
      </c>
      <c r="G46" s="69" t="s">
        <v>87</v>
      </c>
      <c r="H46" s="69" t="s">
        <v>38</v>
      </c>
    </row>
    <row r="47" spans="1:8" ht="15" thickBot="1" x14ac:dyDescent="0.35">
      <c r="A47" s="125"/>
      <c r="B47" s="76"/>
      <c r="C47" s="76"/>
      <c r="D47" s="77"/>
      <c r="E47" s="2"/>
      <c r="F47" s="61"/>
      <c r="G47" s="74"/>
      <c r="H47" s="75"/>
    </row>
    <row r="48" spans="1:8" ht="15" thickBot="1" x14ac:dyDescent="0.35">
      <c r="A48" s="125"/>
      <c r="B48" s="86" t="s">
        <v>39</v>
      </c>
      <c r="C48" s="3" t="s">
        <v>7</v>
      </c>
      <c r="D48" s="83">
        <f>INFORMAÇOES!C19</f>
        <v>5000</v>
      </c>
      <c r="E48" s="2" t="s">
        <v>5</v>
      </c>
      <c r="F48" s="61"/>
      <c r="G48" s="74"/>
      <c r="H48" s="75"/>
    </row>
    <row r="49" spans="1:8" ht="15" thickBot="1" x14ac:dyDescent="0.35">
      <c r="A49" s="125"/>
      <c r="B49" s="60" t="s">
        <v>37</v>
      </c>
      <c r="C49" s="4" t="s">
        <v>7</v>
      </c>
      <c r="D49" s="84">
        <f>D46</f>
        <v>50000</v>
      </c>
      <c r="E49" s="2"/>
      <c r="F49" s="66">
        <f>(D48/D49)*100</f>
        <v>10</v>
      </c>
      <c r="G49" s="69" t="s">
        <v>88</v>
      </c>
      <c r="H49" s="69" t="s">
        <v>40</v>
      </c>
    </row>
    <row r="50" spans="1:8" x14ac:dyDescent="0.3">
      <c r="A50" s="2"/>
      <c r="B50" s="59"/>
      <c r="C50" s="2"/>
      <c r="D50" s="62"/>
      <c r="E50" s="2"/>
      <c r="F50" s="61"/>
      <c r="G50" s="74"/>
      <c r="H50" s="75"/>
    </row>
    <row r="51" spans="1:8" x14ac:dyDescent="0.3">
      <c r="A51" s="2"/>
      <c r="B51" s="59"/>
      <c r="C51" s="2"/>
      <c r="D51" s="62"/>
      <c r="E51" s="2"/>
      <c r="F51" s="61"/>
      <c r="G51" s="71"/>
      <c r="H51" s="2"/>
    </row>
    <row r="52" spans="1:8" x14ac:dyDescent="0.3">
      <c r="A52" s="2"/>
      <c r="B52" s="59"/>
      <c r="C52" s="2"/>
      <c r="D52" s="62"/>
      <c r="E52" s="2"/>
      <c r="F52" s="61"/>
      <c r="G52" s="71"/>
      <c r="H52" s="2"/>
    </row>
  </sheetData>
  <mergeCells count="7">
    <mergeCell ref="A1:H1"/>
    <mergeCell ref="A3:A49"/>
    <mergeCell ref="G16:G17"/>
    <mergeCell ref="G20:G21"/>
    <mergeCell ref="H4:H5"/>
    <mergeCell ref="H16:H17"/>
    <mergeCell ref="H20:H2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A21C-AB83-4E70-ACAB-2DFE3703C672}">
  <dimension ref="A1:M32"/>
  <sheetViews>
    <sheetView workbookViewId="0">
      <selection sqref="A1:M1"/>
    </sheetView>
  </sheetViews>
  <sheetFormatPr defaultRowHeight="14.4" x14ac:dyDescent="0.3"/>
  <cols>
    <col min="1" max="1" width="20.44140625" bestFit="1" customWidth="1"/>
    <col min="2" max="2" width="17.5546875" customWidth="1"/>
    <col min="3" max="3" width="13.21875" customWidth="1"/>
    <col min="4" max="4" width="30.6640625" customWidth="1"/>
    <col min="5" max="5" width="17.6640625" customWidth="1"/>
    <col min="6" max="6" width="14.88671875" customWidth="1"/>
    <col min="7" max="7" width="9.33203125" customWidth="1"/>
    <col min="8" max="8" width="13.21875" customWidth="1"/>
    <col min="9" max="9" width="15.77734375" customWidth="1"/>
    <col min="10" max="10" width="20.44140625" customWidth="1"/>
    <col min="11" max="11" width="17.5546875" customWidth="1"/>
    <col min="12" max="12" width="32.6640625" style="19" bestFit="1" customWidth="1"/>
    <col min="13" max="13" width="12.77734375" bestFit="1" customWidth="1"/>
  </cols>
  <sheetData>
    <row r="1" spans="1:13" ht="50.4" customHeight="1" thickBot="1" x14ac:dyDescent="0.35">
      <c r="A1" s="158" t="s">
        <v>70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60"/>
    </row>
    <row r="2" spans="1:13" ht="15" thickBot="1" x14ac:dyDescent="0.35">
      <c r="A2" s="161" t="s">
        <v>71</v>
      </c>
      <c r="B2" s="162"/>
      <c r="C2" s="163"/>
      <c r="D2" s="20"/>
      <c r="E2" s="20"/>
      <c r="F2" s="161" t="s">
        <v>71</v>
      </c>
      <c r="G2" s="162"/>
      <c r="H2" s="162"/>
      <c r="I2" s="163"/>
      <c r="J2" s="166"/>
      <c r="K2" s="167"/>
      <c r="L2" s="164" t="s">
        <v>71</v>
      </c>
      <c r="M2" s="165"/>
    </row>
    <row r="3" spans="1:13" ht="31.8" thickBot="1" x14ac:dyDescent="0.35">
      <c r="A3" s="43" t="s">
        <v>41</v>
      </c>
      <c r="B3" s="44" t="s">
        <v>42</v>
      </c>
      <c r="C3" s="45" t="s">
        <v>73</v>
      </c>
      <c r="D3" s="45" t="s">
        <v>43</v>
      </c>
      <c r="E3" s="45" t="s">
        <v>44</v>
      </c>
      <c r="F3" s="46" t="s">
        <v>45</v>
      </c>
      <c r="G3" s="47" t="s">
        <v>46</v>
      </c>
      <c r="H3" s="47" t="s">
        <v>47</v>
      </c>
      <c r="I3" s="47" t="s">
        <v>48</v>
      </c>
      <c r="J3" s="45" t="s">
        <v>49</v>
      </c>
      <c r="K3" s="48" t="s">
        <v>69</v>
      </c>
      <c r="L3" s="156" t="s">
        <v>89</v>
      </c>
      <c r="M3" s="157"/>
    </row>
    <row r="4" spans="1:13" ht="16.2" thickBot="1" x14ac:dyDescent="0.35">
      <c r="A4" s="49" t="s">
        <v>52</v>
      </c>
      <c r="B4" s="8">
        <v>100</v>
      </c>
      <c r="C4" s="9">
        <v>50</v>
      </c>
      <c r="D4" s="10">
        <f t="shared" ref="D4:D15" si="0">IFERROR(IF(A4="","",B4*C4),"")</f>
        <v>5000</v>
      </c>
      <c r="E4" s="11">
        <f>IFERROR(D4/SUM($D$4:$D$17),"")</f>
        <v>0.18518518518518517</v>
      </c>
      <c r="F4" s="12">
        <v>15</v>
      </c>
      <c r="G4" s="13">
        <v>0.03</v>
      </c>
      <c r="H4" s="13">
        <v>0.12</v>
      </c>
      <c r="I4" s="12">
        <v>10</v>
      </c>
      <c r="J4" s="10">
        <f>F4+B4*(G4+H4)+I4</f>
        <v>40</v>
      </c>
      <c r="K4" s="50">
        <f>B4-J4</f>
        <v>60</v>
      </c>
      <c r="L4" s="27" t="s">
        <v>50</v>
      </c>
      <c r="M4" s="28" t="s">
        <v>51</v>
      </c>
    </row>
    <row r="5" spans="1:13" ht="16.2" thickBot="1" x14ac:dyDescent="0.35">
      <c r="A5" s="51" t="s">
        <v>54</v>
      </c>
      <c r="B5" s="12">
        <v>120</v>
      </c>
      <c r="C5" s="14">
        <v>100</v>
      </c>
      <c r="D5" s="10">
        <f t="shared" si="0"/>
        <v>12000</v>
      </c>
      <c r="E5" s="11">
        <f t="shared" ref="E5:E16" si="1">IFERROR(D5/SUM($D$4:$D$18),"")</f>
        <v>0.22222222222222221</v>
      </c>
      <c r="F5" s="12">
        <v>28</v>
      </c>
      <c r="G5" s="13">
        <v>0.03</v>
      </c>
      <c r="H5" s="13">
        <v>0.12</v>
      </c>
      <c r="I5" s="12">
        <v>18</v>
      </c>
      <c r="J5" s="10">
        <f t="shared" ref="J5:J16" si="2">F5+B5*(G5+H5)+I5</f>
        <v>64</v>
      </c>
      <c r="K5" s="50">
        <f t="shared" ref="K5:K16" si="3">B5-J5</f>
        <v>56</v>
      </c>
      <c r="L5" s="29" t="s">
        <v>53</v>
      </c>
      <c r="M5" s="30">
        <v>6500</v>
      </c>
    </row>
    <row r="6" spans="1:13" ht="16.2" thickBot="1" x14ac:dyDescent="0.35">
      <c r="A6" s="51" t="s">
        <v>56</v>
      </c>
      <c r="B6" s="12">
        <v>100</v>
      </c>
      <c r="C6" s="14">
        <v>100</v>
      </c>
      <c r="D6" s="10">
        <f t="shared" si="0"/>
        <v>10000</v>
      </c>
      <c r="E6" s="11">
        <f t="shared" si="1"/>
        <v>0.18518518518518517</v>
      </c>
      <c r="F6" s="12">
        <v>8</v>
      </c>
      <c r="G6" s="13">
        <v>0.03</v>
      </c>
      <c r="H6" s="13">
        <v>0.12</v>
      </c>
      <c r="I6" s="12">
        <v>6</v>
      </c>
      <c r="J6" s="10">
        <f t="shared" si="2"/>
        <v>29</v>
      </c>
      <c r="K6" s="50">
        <f t="shared" si="3"/>
        <v>71</v>
      </c>
      <c r="L6" s="29" t="s">
        <v>55</v>
      </c>
      <c r="M6" s="30">
        <v>600</v>
      </c>
    </row>
    <row r="7" spans="1:13" ht="16.2" thickBot="1" x14ac:dyDescent="0.35">
      <c r="A7" s="49"/>
      <c r="B7" s="8"/>
      <c r="C7" s="14"/>
      <c r="D7" s="10" t="str">
        <f t="shared" si="0"/>
        <v/>
      </c>
      <c r="E7" s="11" t="str">
        <f t="shared" si="1"/>
        <v/>
      </c>
      <c r="F7" s="12"/>
      <c r="G7" s="13"/>
      <c r="H7" s="13"/>
      <c r="I7" s="12"/>
      <c r="J7" s="10">
        <f t="shared" si="2"/>
        <v>0</v>
      </c>
      <c r="K7" s="50">
        <f t="shared" si="3"/>
        <v>0</v>
      </c>
      <c r="L7" s="29" t="s">
        <v>57</v>
      </c>
      <c r="M7" s="30">
        <v>700</v>
      </c>
    </row>
    <row r="8" spans="1:13" ht="16.2" thickBot="1" x14ac:dyDescent="0.35">
      <c r="A8" s="49"/>
      <c r="B8" s="8"/>
      <c r="C8" s="14"/>
      <c r="D8" s="10" t="str">
        <f t="shared" si="0"/>
        <v/>
      </c>
      <c r="E8" s="11" t="str">
        <f t="shared" si="1"/>
        <v/>
      </c>
      <c r="F8" s="12"/>
      <c r="G8" s="13"/>
      <c r="H8" s="13"/>
      <c r="I8" s="12"/>
      <c r="J8" s="10">
        <f t="shared" si="2"/>
        <v>0</v>
      </c>
      <c r="K8" s="50">
        <f t="shared" si="3"/>
        <v>0</v>
      </c>
      <c r="L8" s="29" t="s">
        <v>58</v>
      </c>
      <c r="M8" s="30">
        <v>2000</v>
      </c>
    </row>
    <row r="9" spans="1:13" ht="16.2" thickBot="1" x14ac:dyDescent="0.35">
      <c r="A9" s="49"/>
      <c r="B9" s="8"/>
      <c r="C9" s="14"/>
      <c r="D9" s="10" t="str">
        <f t="shared" si="0"/>
        <v/>
      </c>
      <c r="E9" s="11" t="str">
        <f t="shared" si="1"/>
        <v/>
      </c>
      <c r="F9" s="12"/>
      <c r="G9" s="13"/>
      <c r="H9" s="13"/>
      <c r="I9" s="12"/>
      <c r="J9" s="10">
        <f t="shared" si="2"/>
        <v>0</v>
      </c>
      <c r="K9" s="50">
        <f t="shared" si="3"/>
        <v>0</v>
      </c>
      <c r="L9" s="29" t="s">
        <v>59</v>
      </c>
      <c r="M9" s="30">
        <v>2000</v>
      </c>
    </row>
    <row r="10" spans="1:13" ht="16.2" thickBot="1" x14ac:dyDescent="0.35">
      <c r="A10" s="49"/>
      <c r="B10" s="8"/>
      <c r="C10" s="14"/>
      <c r="D10" s="10" t="str">
        <f t="shared" si="0"/>
        <v/>
      </c>
      <c r="E10" s="11" t="str">
        <f t="shared" si="1"/>
        <v/>
      </c>
      <c r="F10" s="12"/>
      <c r="G10" s="13"/>
      <c r="H10" s="13"/>
      <c r="I10" s="12"/>
      <c r="J10" s="10">
        <f t="shared" si="2"/>
        <v>0</v>
      </c>
      <c r="K10" s="50">
        <f t="shared" si="3"/>
        <v>0</v>
      </c>
      <c r="L10" s="29" t="s">
        <v>60</v>
      </c>
      <c r="M10" s="30">
        <v>1350</v>
      </c>
    </row>
    <row r="11" spans="1:13" ht="16.2" thickBot="1" x14ac:dyDescent="0.35">
      <c r="A11" s="49"/>
      <c r="B11" s="8"/>
      <c r="C11" s="14"/>
      <c r="D11" s="10" t="str">
        <f t="shared" si="0"/>
        <v/>
      </c>
      <c r="E11" s="11" t="str">
        <f t="shared" si="1"/>
        <v/>
      </c>
      <c r="F11" s="12"/>
      <c r="G11" s="13"/>
      <c r="H11" s="13"/>
      <c r="I11" s="12"/>
      <c r="J11" s="10">
        <f t="shared" si="2"/>
        <v>0</v>
      </c>
      <c r="K11" s="50">
        <f t="shared" si="3"/>
        <v>0</v>
      </c>
      <c r="L11" s="29" t="s">
        <v>61</v>
      </c>
      <c r="M11" s="30">
        <v>980</v>
      </c>
    </row>
    <row r="12" spans="1:13" ht="16.2" thickBot="1" x14ac:dyDescent="0.35">
      <c r="A12" s="49"/>
      <c r="B12" s="8"/>
      <c r="C12" s="14"/>
      <c r="D12" s="10" t="str">
        <f t="shared" si="0"/>
        <v/>
      </c>
      <c r="E12" s="11" t="str">
        <f t="shared" si="1"/>
        <v/>
      </c>
      <c r="F12" s="12"/>
      <c r="G12" s="13"/>
      <c r="H12" s="13"/>
      <c r="I12" s="12"/>
      <c r="J12" s="10">
        <f t="shared" si="2"/>
        <v>0</v>
      </c>
      <c r="K12" s="50">
        <f t="shared" si="3"/>
        <v>0</v>
      </c>
      <c r="L12" s="31" t="s">
        <v>62</v>
      </c>
      <c r="M12" s="30">
        <v>1900</v>
      </c>
    </row>
    <row r="13" spans="1:13" ht="16.2" thickBot="1" x14ac:dyDescent="0.35">
      <c r="A13" s="49"/>
      <c r="B13" s="8"/>
      <c r="C13" s="14"/>
      <c r="D13" s="10" t="str">
        <f t="shared" si="0"/>
        <v/>
      </c>
      <c r="E13" s="11" t="str">
        <f t="shared" si="1"/>
        <v/>
      </c>
      <c r="F13" s="12"/>
      <c r="G13" s="13"/>
      <c r="H13" s="13"/>
      <c r="I13" s="12"/>
      <c r="J13" s="10">
        <f t="shared" si="2"/>
        <v>0</v>
      </c>
      <c r="K13" s="50">
        <f t="shared" si="3"/>
        <v>0</v>
      </c>
      <c r="L13" s="32" t="s">
        <v>63</v>
      </c>
      <c r="M13" s="33">
        <v>10000</v>
      </c>
    </row>
    <row r="14" spans="1:13" ht="16.2" thickBot="1" x14ac:dyDescent="0.35">
      <c r="A14" s="49"/>
      <c r="B14" s="8"/>
      <c r="C14" s="14"/>
      <c r="D14" s="10" t="str">
        <f t="shared" si="0"/>
        <v/>
      </c>
      <c r="E14" s="11" t="str">
        <f t="shared" si="1"/>
        <v/>
      </c>
      <c r="F14" s="12"/>
      <c r="G14" s="13"/>
      <c r="H14" s="13"/>
      <c r="I14" s="12"/>
      <c r="J14" s="10">
        <f t="shared" si="2"/>
        <v>0</v>
      </c>
      <c r="K14" s="50">
        <f t="shared" si="3"/>
        <v>0</v>
      </c>
      <c r="L14" s="34"/>
      <c r="M14" s="30"/>
    </row>
    <row r="15" spans="1:13" ht="16.2" thickBot="1" x14ac:dyDescent="0.35">
      <c r="A15" s="49"/>
      <c r="B15" s="8"/>
      <c r="C15" s="14"/>
      <c r="D15" s="10" t="str">
        <f t="shared" si="0"/>
        <v/>
      </c>
      <c r="E15" s="11" t="str">
        <f t="shared" si="1"/>
        <v/>
      </c>
      <c r="F15" s="12"/>
      <c r="G15" s="13"/>
      <c r="H15" s="13"/>
      <c r="I15" s="12"/>
      <c r="J15" s="10">
        <f t="shared" si="2"/>
        <v>0</v>
      </c>
      <c r="K15" s="50">
        <f t="shared" si="3"/>
        <v>0</v>
      </c>
      <c r="L15" s="34"/>
      <c r="M15" s="35"/>
    </row>
    <row r="16" spans="1:13" ht="16.2" thickBot="1" x14ac:dyDescent="0.35">
      <c r="A16" s="49"/>
      <c r="B16" s="8"/>
      <c r="C16" s="14"/>
      <c r="D16" s="21" t="str">
        <f>IFERROR(IF(A16="","",B16*C16),"")</f>
        <v/>
      </c>
      <c r="E16" s="11" t="str">
        <f t="shared" si="1"/>
        <v/>
      </c>
      <c r="F16" s="12"/>
      <c r="G16" s="13"/>
      <c r="H16" s="13"/>
      <c r="I16" s="12"/>
      <c r="J16" s="10">
        <f t="shared" si="2"/>
        <v>0</v>
      </c>
      <c r="K16" s="50">
        <f t="shared" si="3"/>
        <v>0</v>
      </c>
      <c r="L16" s="34"/>
      <c r="M16" s="35"/>
    </row>
    <row r="17" spans="1:13" ht="16.2" thickBot="1" x14ac:dyDescent="0.35">
      <c r="A17" s="52"/>
      <c r="B17" s="22"/>
      <c r="C17" s="23"/>
      <c r="D17" s="21"/>
      <c r="E17" s="24"/>
      <c r="F17" s="25"/>
      <c r="G17" s="26"/>
      <c r="H17" s="26"/>
      <c r="I17" s="25"/>
      <c r="J17" s="21">
        <f>F17+B17*(G17+H17)+I17</f>
        <v>0</v>
      </c>
      <c r="K17" s="53">
        <f>B17-J17</f>
        <v>0</v>
      </c>
      <c r="L17" s="34"/>
      <c r="M17" s="35"/>
    </row>
    <row r="18" spans="1:13" ht="16.2" thickBot="1" x14ac:dyDescent="0.35">
      <c r="A18" s="54"/>
      <c r="B18" s="56" t="s">
        <v>72</v>
      </c>
      <c r="C18" s="57">
        <f>SUM(Tabela2[[Projeções vendas ]])</f>
        <v>250</v>
      </c>
      <c r="D18" s="58">
        <f>SUM(D4:D17)</f>
        <v>27000</v>
      </c>
      <c r="E18" s="55"/>
      <c r="F18" s="25"/>
      <c r="G18" s="26"/>
      <c r="H18" s="26"/>
      <c r="I18" s="25"/>
      <c r="J18" s="21"/>
      <c r="K18" s="21"/>
      <c r="L18" s="36"/>
      <c r="M18" s="37"/>
    </row>
    <row r="19" spans="1:13" ht="15" thickBot="1" x14ac:dyDescent="0.35">
      <c r="F19" s="15"/>
      <c r="G19" s="15"/>
      <c r="H19" s="15"/>
      <c r="I19" s="15"/>
      <c r="L19" s="36"/>
      <c r="M19" s="37"/>
    </row>
    <row r="20" spans="1:13" ht="16.2" thickBot="1" x14ac:dyDescent="0.35">
      <c r="A20" s="40" t="s">
        <v>64</v>
      </c>
      <c r="B20" s="41" t="s">
        <v>51</v>
      </c>
      <c r="C20" s="7"/>
      <c r="D20" s="40" t="s">
        <v>64</v>
      </c>
      <c r="E20" s="42" t="s">
        <v>51</v>
      </c>
      <c r="F20" s="16"/>
      <c r="G20" s="17"/>
      <c r="H20" s="18"/>
      <c r="I20" s="15"/>
      <c r="L20" s="36"/>
      <c r="M20" s="37"/>
    </row>
    <row r="21" spans="1:13" x14ac:dyDescent="0.3">
      <c r="A21" s="150" t="s">
        <v>65</v>
      </c>
      <c r="B21" s="151">
        <f>IFERROR(AVERAGEIF(B4:B17,"&gt;0"),"")</f>
        <v>106.66666666666667</v>
      </c>
      <c r="C21" s="7"/>
      <c r="D21" s="152" t="s">
        <v>74</v>
      </c>
      <c r="E21" s="153">
        <f>SUM(M5:M33)</f>
        <v>26030</v>
      </c>
      <c r="F21" s="16"/>
      <c r="G21" s="130"/>
      <c r="H21" s="132"/>
      <c r="I21" s="15"/>
      <c r="L21" s="36"/>
      <c r="M21" s="37"/>
    </row>
    <row r="22" spans="1:13" ht="15" thickBot="1" x14ac:dyDescent="0.35">
      <c r="A22" s="134"/>
      <c r="B22" s="137"/>
      <c r="C22" s="7"/>
      <c r="D22" s="134"/>
      <c r="E22" s="154"/>
      <c r="F22" s="16"/>
      <c r="G22" s="131"/>
      <c r="H22" s="131"/>
      <c r="I22" s="15"/>
      <c r="L22" s="36"/>
      <c r="M22" s="37"/>
    </row>
    <row r="23" spans="1:13" ht="15" thickBot="1" x14ac:dyDescent="0.35">
      <c r="A23" s="140"/>
      <c r="B23" s="145"/>
      <c r="C23" s="7"/>
      <c r="D23" s="134"/>
      <c r="E23" s="154"/>
      <c r="F23" s="16"/>
      <c r="G23" s="130"/>
      <c r="H23" s="149"/>
      <c r="I23" s="15"/>
      <c r="L23" s="36"/>
      <c r="M23" s="37"/>
    </row>
    <row r="24" spans="1:13" ht="15" thickBot="1" x14ac:dyDescent="0.35">
      <c r="A24" s="150" t="s">
        <v>66</v>
      </c>
      <c r="B24" s="151">
        <f>IFERROR(AVERAGEIF(K4:K17,"&gt;0"),"")</f>
        <v>62.333333333333336</v>
      </c>
      <c r="C24" s="7"/>
      <c r="D24" s="140"/>
      <c r="E24" s="155"/>
      <c r="F24" s="16"/>
      <c r="G24" s="131"/>
      <c r="H24" s="131"/>
      <c r="I24" s="15"/>
      <c r="L24" s="36"/>
      <c r="M24" s="37"/>
    </row>
    <row r="25" spans="1:13" x14ac:dyDescent="0.3">
      <c r="A25" s="134"/>
      <c r="B25" s="137"/>
      <c r="C25" s="7"/>
      <c r="D25" s="139" t="s">
        <v>75</v>
      </c>
      <c r="E25" s="141">
        <f>IFERROR(E21/(B24/B21),"")</f>
        <v>44543.315508021391</v>
      </c>
      <c r="F25" s="16"/>
      <c r="G25" s="130"/>
      <c r="H25" s="132"/>
      <c r="I25" s="15"/>
      <c r="L25" s="36"/>
      <c r="M25" s="37"/>
    </row>
    <row r="26" spans="1:13" ht="15" thickBot="1" x14ac:dyDescent="0.35">
      <c r="A26" s="140"/>
      <c r="B26" s="145"/>
      <c r="C26" s="7"/>
      <c r="D26" s="134"/>
      <c r="E26" s="142"/>
      <c r="F26" s="16"/>
      <c r="G26" s="131"/>
      <c r="H26" s="131"/>
      <c r="I26" s="15"/>
      <c r="L26" s="36"/>
      <c r="M26" s="37"/>
    </row>
    <row r="27" spans="1:13" x14ac:dyDescent="0.3">
      <c r="A27" s="144" t="s">
        <v>67</v>
      </c>
      <c r="B27" s="136">
        <f>SUM(I4:I17)</f>
        <v>34</v>
      </c>
      <c r="C27" s="7"/>
      <c r="D27" s="134"/>
      <c r="E27" s="142"/>
      <c r="F27" s="16"/>
      <c r="G27" s="130"/>
      <c r="H27" s="132"/>
      <c r="I27" s="15"/>
      <c r="L27" s="36"/>
      <c r="M27" s="37"/>
    </row>
    <row r="28" spans="1:13" ht="15" thickBot="1" x14ac:dyDescent="0.35">
      <c r="A28" s="134"/>
      <c r="B28" s="137"/>
      <c r="C28" s="7"/>
      <c r="D28" s="140"/>
      <c r="E28" s="143"/>
      <c r="F28" s="16"/>
      <c r="G28" s="131"/>
      <c r="H28" s="131"/>
      <c r="I28" s="15"/>
      <c r="L28" s="36"/>
      <c r="M28" s="37"/>
    </row>
    <row r="29" spans="1:13" ht="15" thickBot="1" x14ac:dyDescent="0.35">
      <c r="A29" s="140"/>
      <c r="B29" s="145"/>
      <c r="C29" s="7"/>
      <c r="D29" s="139" t="s">
        <v>76</v>
      </c>
      <c r="E29" s="146">
        <f>IFERROR(E25/B21,"")</f>
        <v>417.59358288770051</v>
      </c>
      <c r="F29" s="16"/>
      <c r="G29" s="130"/>
      <c r="H29" s="132"/>
      <c r="I29" s="15"/>
      <c r="L29" s="36"/>
      <c r="M29" s="37"/>
    </row>
    <row r="30" spans="1:13" ht="15" thickBot="1" x14ac:dyDescent="0.35">
      <c r="A30" s="133" t="s">
        <v>68</v>
      </c>
      <c r="B30" s="136">
        <f>IFERROR(AVERAGEIF((I4:I17),"&gt;0"),"")</f>
        <v>11.333333333333334</v>
      </c>
      <c r="C30" s="7"/>
      <c r="D30" s="134"/>
      <c r="E30" s="147"/>
      <c r="F30" s="16"/>
      <c r="G30" s="131"/>
      <c r="H30" s="131"/>
      <c r="I30" s="15"/>
      <c r="L30" s="36"/>
      <c r="M30" s="37"/>
    </row>
    <row r="31" spans="1:13" x14ac:dyDescent="0.3">
      <c r="A31" s="134"/>
      <c r="B31" s="137"/>
      <c r="C31" s="7"/>
      <c r="D31" s="134"/>
      <c r="E31" s="147"/>
      <c r="F31" s="7"/>
      <c r="G31" s="7"/>
      <c r="H31" s="7"/>
      <c r="L31" s="36"/>
      <c r="M31" s="37"/>
    </row>
    <row r="32" spans="1:13" ht="15" thickBot="1" x14ac:dyDescent="0.35">
      <c r="A32" s="135"/>
      <c r="B32" s="138"/>
      <c r="C32" s="7"/>
      <c r="D32" s="135"/>
      <c r="E32" s="148"/>
      <c r="F32" s="7"/>
      <c r="G32" s="7"/>
      <c r="H32" s="7"/>
      <c r="L32" s="38"/>
      <c r="M32" s="39"/>
    </row>
  </sheetData>
  <mergeCells count="30">
    <mergeCell ref="L3:M3"/>
    <mergeCell ref="A1:M1"/>
    <mergeCell ref="A2:C2"/>
    <mergeCell ref="F2:I2"/>
    <mergeCell ref="L2:M2"/>
    <mergeCell ref="J2:K2"/>
    <mergeCell ref="H21:H22"/>
    <mergeCell ref="G23:G24"/>
    <mergeCell ref="H23:H24"/>
    <mergeCell ref="A24:A26"/>
    <mergeCell ref="B24:B26"/>
    <mergeCell ref="A21:A23"/>
    <mergeCell ref="B21:B23"/>
    <mergeCell ref="D21:D24"/>
    <mergeCell ref="E21:E24"/>
    <mergeCell ref="G21:G22"/>
    <mergeCell ref="G29:G30"/>
    <mergeCell ref="H29:H30"/>
    <mergeCell ref="A30:A32"/>
    <mergeCell ref="B30:B32"/>
    <mergeCell ref="D25:D28"/>
    <mergeCell ref="E25:E28"/>
    <mergeCell ref="G25:G26"/>
    <mergeCell ref="H25:H26"/>
    <mergeCell ref="A27:A29"/>
    <mergeCell ref="B27:B29"/>
    <mergeCell ref="G27:G28"/>
    <mergeCell ref="H27:H28"/>
    <mergeCell ref="D29:D32"/>
    <mergeCell ref="E29:E32"/>
  </mergeCells>
  <dataValidations count="1">
    <dataValidation type="list" allowBlank="1" showErrorMessage="1" sqref="H20" xr:uid="{A227BA47-728E-4659-960E-0C6280508616}">
      <formula1>produtos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INFORMAÇOES</vt:lpstr>
      <vt:lpstr>INDICADORES</vt:lpstr>
      <vt:lpstr>PONTO EQUILIBRIO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cleverson gasparini</dc:creator>
  <cp:lastModifiedBy>cleverson gasparini</cp:lastModifiedBy>
  <dcterms:created xsi:type="dcterms:W3CDTF">2023-08-26T19:45:19Z</dcterms:created>
  <dcterms:modified xsi:type="dcterms:W3CDTF">2023-08-28T12:31:20Z</dcterms:modified>
</cp:coreProperties>
</file>